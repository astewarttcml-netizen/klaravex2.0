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UnitEconomics" sheetId="3" state="visible" r:id="rId3"/>
    <sheet xmlns:r="http://schemas.openxmlformats.org/officeDocument/2006/relationships" name="Projection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0.0%"/>
    <numFmt numFmtId="166" formatCode="$#,##0"/>
    <numFmt numFmtId="167" formatCode="0.000"/>
    <numFmt numFmtId="168" formatCode="0.0"/>
    <numFmt numFmtId="169" formatCode="0.0&quot;x&quot;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1"/>
    </font>
    <font>
      <color rgb="000000CC"/>
    </font>
    <font>
      <b val="1"/>
    </font>
    <font>
      <b val="1"/>
      <color rgb="00FFFFFF"/>
    </font>
    <font>
      <i val="1"/>
      <sz val="8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0" fillId="0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5" fontId="0" fillId="5" borderId="1" pivotButton="0" quotePrefix="0" xfId="0"/>
    <xf numFmtId="166" fontId="4" fillId="4" borderId="1" pivotButton="0" quotePrefix="0" xfId="0"/>
    <xf numFmtId="2" fontId="4" fillId="4" borderId="1" pivotButton="0" quotePrefix="0" xfId="0"/>
    <xf numFmtId="167" fontId="4" fillId="4" borderId="1" pivotButton="0" quotePrefix="0" xfId="0"/>
    <xf numFmtId="1" fontId="4" fillId="4" borderId="1" pivotButton="0" quotePrefix="0" xfId="0"/>
    <xf numFmtId="166" fontId="5" fillId="5" borderId="1" pivotButton="0" quotePrefix="0" xfId="0"/>
    <xf numFmtId="0" fontId="5" fillId="0" borderId="1" pivotButton="0" quotePrefix="0" xfId="0"/>
    <xf numFmtId="0" fontId="0" fillId="5" borderId="1" pivotButton="0" quotePrefix="0" xfId="0"/>
    <xf numFmtId="0" fontId="6" fillId="3" borderId="0" pivotButton="0" quotePrefix="0" xfId="0"/>
    <xf numFmtId="1" fontId="5" fillId="5" borderId="1" pivotButton="0" quotePrefix="0" xfId="0"/>
    <xf numFmtId="165" fontId="5" fillId="5" borderId="1" pivotButton="0" quotePrefix="0" xfId="0"/>
    <xf numFmtId="164" fontId="0" fillId="5" borderId="1" pivotButton="0" quotePrefix="0" xfId="0"/>
    <xf numFmtId="164" fontId="5" fillId="5" borderId="1" pivotButton="0" quotePrefix="0" xfId="0"/>
    <xf numFmtId="166" fontId="0" fillId="5" borderId="1" pivotButton="0" quotePrefix="0" xfId="0"/>
    <xf numFmtId="168" fontId="0" fillId="5" borderId="1" pivotButton="0" quotePrefix="0" xfId="0"/>
    <xf numFmtId="169" fontId="5" fillId="5" borderId="1" pivotButton="0" quotePrefix="0" xfId="0"/>
    <xf numFmtId="168" fontId="5" fillId="5" borderId="1" pivotButton="0" quotePrefix="0" xfId="0"/>
    <xf numFmtId="0" fontId="6" fillId="3" borderId="0" applyAlignment="1" pivotButton="0" quotePrefix="0" xfId="0">
      <alignment horizontal="center"/>
    </xf>
    <xf numFmtId="1" fontId="0" fillId="5" borderId="1" pivotButton="0" quotePrefix="0" xfId="0"/>
    <xf numFmtId="0" fontId="5" fillId="5" borderId="1" pivotButton="0" quotePrefix="0" xfId="0"/>
    <xf numFmtId="0" fontId="5" fillId="0" borderId="0" pivotButton="0" quotePrefix="0" xfId="0"/>
    <xf numFmtId="165" fontId="6" fillId="3" borderId="0" pivotButton="0" quotePrefix="0" xfId="0"/>
    <xf numFmtId="165" fontId="5" fillId="4" borderId="0" pivotButton="0" quotePrefix="0" xfId="0"/>
    <xf numFmtId="0" fontId="7" fillId="0" borderId="0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0" customWidth="1" min="3" max="3"/>
  </cols>
  <sheetData>
    <row r="1" ht="24" customHeight="1">
      <c r="A1" s="1" t="inlineStr">
        <is>
          <t>KLARAVEX — Executive Dashboard</t>
        </is>
      </c>
    </row>
    <row r="3">
      <c r="A3" s="13" t="inlineStr">
        <is>
          <t>Active scenario</t>
        </is>
      </c>
      <c r="B3" s="26">
        <f>CHOOSE(Drivers!$B$43,"Conservative","Base","Aggressive")</f>
        <v/>
      </c>
    </row>
    <row r="5">
      <c r="A5" s="13" t="inlineStr">
        <is>
          <t>NORTH STAR — AI deflection rate</t>
        </is>
      </c>
      <c r="B5" s="17">
        <f>Drivers!$E$51</f>
        <v/>
      </c>
      <c r="C5" s="31" t="inlineStr">
        <is>
          <t>Target ≥75%. Drives cost-to-serve.</t>
        </is>
      </c>
    </row>
    <row r="6">
      <c r="A6" s="13" t="inlineStr">
        <is>
          <t>M12 MRR</t>
        </is>
      </c>
      <c r="B6" s="12">
        <f>Projection!$M$10</f>
        <v/>
      </c>
      <c r="C6" s="31" t="inlineStr">
        <is>
          <t>Monthly recurring at month 12.</t>
        </is>
      </c>
    </row>
    <row r="7">
      <c r="A7" s="13" t="inlineStr">
        <is>
          <t>Net new MRR (M12 vs M1)</t>
        </is>
      </c>
      <c r="B7" s="12">
        <f>Projection!$M$10-Projection!$B$10</f>
        <v/>
      </c>
      <c r="C7" s="31" t="inlineStr">
        <is>
          <t>MRR added across the year.</t>
        </is>
      </c>
    </row>
    <row r="8">
      <c r="A8" s="13" t="inlineStr">
        <is>
          <t>ARR run-rate (M12 x 12)</t>
        </is>
      </c>
      <c r="B8" s="12">
        <f>Projection!$M$10*12</f>
        <v/>
      </c>
      <c r="C8" s="31" t="inlineStr">
        <is>
          <t>Annualized exit run-rate.</t>
        </is>
      </c>
    </row>
    <row r="9">
      <c r="A9" s="13" t="inlineStr">
        <is>
          <t>Gross margin % (M12)</t>
        </is>
      </c>
      <c r="B9" s="17">
        <f>Projection!$M$15</f>
        <v/>
      </c>
      <c r="C9" s="31" t="inlineStr">
        <is>
          <t>Revenue minus cost-to-serve.</t>
        </is>
      </c>
    </row>
    <row r="10">
      <c r="A10" s="13" t="inlineStr">
        <is>
          <t>LTV:CAC — B2B</t>
        </is>
      </c>
      <c r="B10" s="22">
        <f>UnitEconomics!B21/UnitEconomics!B22</f>
        <v/>
      </c>
      <c r="C10" s="31" t="inlineStr">
        <is>
          <t>Healthy &gt;3x.</t>
        </is>
      </c>
    </row>
    <row r="11">
      <c r="A11" s="13" t="inlineStr">
        <is>
          <t>LTV:CAC — B2C</t>
        </is>
      </c>
      <c r="B11" s="22">
        <f>UnitEconomics!C21/UnitEconomics!C22</f>
        <v/>
      </c>
      <c r="C11" s="31" t="inlineStr">
        <is>
          <t>Healthy &gt;3x.</t>
        </is>
      </c>
    </row>
    <row r="12">
      <c r="A12" s="13" t="inlineStr">
        <is>
          <t>Breakeven month</t>
        </is>
      </c>
      <c r="B12" s="26">
        <f>Projection!$B$22</f>
        <v/>
      </c>
      <c r="C12" s="31" t="inlineStr">
        <is>
          <t>First month contribution&gt;0.</t>
        </is>
      </c>
    </row>
    <row r="13">
      <c r="A13" s="13" t="inlineStr">
        <is>
          <t>Ending cash (M12)</t>
        </is>
      </c>
      <c r="B13" s="12">
        <f>Projection!$M$19</f>
        <v/>
      </c>
      <c r="C13" s="31" t="inlineStr">
        <is>
          <t>Cumulative cash at year end.</t>
        </is>
      </c>
    </row>
    <row r="14">
      <c r="A14" s="13" t="inlineStr">
        <is>
          <t>Runway note</t>
        </is>
      </c>
      <c r="B14" s="26">
        <f>IF(Projection!$M$18&gt;0,"Cash-flow positive","Burning - watch runway")</f>
        <v/>
      </c>
      <c r="C14" s="31" t="inlineStr">
        <is>
          <t>Status at M12.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KLARAVEX — Assumptions &amp; Drivers (yellow = editable input)</t>
        </is>
      </c>
    </row>
    <row r="2">
      <c r="A2" s="2" t="inlineStr">
        <is>
          <t>Every yellow cell is an input. Change it and the whole model recalculates.</t>
        </is>
      </c>
    </row>
    <row r="4">
      <c r="A4" s="3" t="inlineStr">
        <is>
          <t>AI / COST-TO-SERVE DRIVERS</t>
        </is>
      </c>
    </row>
    <row r="5">
      <c r="A5" s="4" t="inlineStr">
        <is>
          <t>AI cost per ticket (B2B)</t>
        </is>
      </c>
      <c r="B5" s="5" t="n">
        <v>0.35</v>
      </c>
    </row>
    <row r="6">
      <c r="A6" s="4" t="inlineStr">
        <is>
          <t>AI cost per session (B2C)</t>
        </is>
      </c>
      <c r="B6" s="5" t="n">
        <v>0.8</v>
      </c>
    </row>
    <row r="7">
      <c r="A7" s="4" t="inlineStr">
        <is>
          <t>AI deflection rate (base) — NORTH STAR</t>
        </is>
      </c>
      <c r="B7" s="6" t="n">
        <v>0.75</v>
      </c>
    </row>
    <row r="8">
      <c r="A8" s="4" t="inlineStr">
        <is>
          <t>Human escalation rate</t>
        </is>
      </c>
      <c r="B8" s="7">
        <f>1-B6</f>
        <v/>
      </c>
    </row>
    <row r="9">
      <c r="A9" s="4" t="inlineStr">
        <is>
          <t>Senior engineer cost / hr</t>
        </is>
      </c>
      <c r="B9" s="8" t="n">
        <v>60</v>
      </c>
    </row>
    <row r="10">
      <c r="A10" s="4" t="inlineStr">
        <is>
          <t>Human hours per escalation</t>
        </is>
      </c>
      <c r="B10" s="9" t="n">
        <v>0.5</v>
      </c>
    </row>
    <row r="11">
      <c r="A11" s="4" t="inlineStr">
        <is>
          <t>Tooling fixed cost / mo</t>
        </is>
      </c>
      <c r="B11" s="8" t="n">
        <v>1500</v>
      </c>
    </row>
    <row r="13">
      <c r="A13" s="3" t="inlineStr">
        <is>
          <t>RETENTION / CHURN &amp; PROCESSING</t>
        </is>
      </c>
    </row>
    <row r="14">
      <c r="A14" s="4" t="inlineStr">
        <is>
          <t>Monthly churn — B2B</t>
        </is>
      </c>
      <c r="B14" s="6" t="n">
        <v>0.03</v>
      </c>
    </row>
    <row r="15">
      <c r="A15" s="4" t="inlineStr">
        <is>
          <t>Monthly churn — B2C</t>
        </is>
      </c>
      <c r="B15" s="6" t="n">
        <v>0.06</v>
      </c>
    </row>
    <row r="16">
      <c r="A16" s="4" t="inlineStr">
        <is>
          <t>Payment processing %</t>
        </is>
      </c>
      <c r="B16" s="6" t="n">
        <v>0.03</v>
      </c>
    </row>
    <row r="17">
      <c r="A17" s="4" t="inlineStr">
        <is>
          <t>FX rate EUR -&gt; USD</t>
        </is>
      </c>
      <c r="B17" s="10" t="n">
        <v>1.08</v>
      </c>
    </row>
    <row r="19">
      <c r="A19" s="3" t="inlineStr">
        <is>
          <t>PRICING (per tier)</t>
        </is>
      </c>
    </row>
    <row r="20">
      <c r="A20" s="4" t="inlineStr">
        <is>
          <t>B2B Managed — price / seat / mo</t>
        </is>
      </c>
      <c r="B20" s="8" t="n">
        <v>49</v>
      </c>
    </row>
    <row r="21">
      <c r="A21" s="4" t="inlineStr">
        <is>
          <t>B2B Managed — monthly floor</t>
        </is>
      </c>
      <c r="B21" s="8" t="n">
        <v>245</v>
      </c>
    </row>
    <row r="22">
      <c r="A22" s="4" t="inlineStr">
        <is>
          <t>B2B avg seats per account</t>
        </is>
      </c>
      <c r="B22" s="11" t="n">
        <v>8</v>
      </c>
    </row>
    <row r="23">
      <c r="A23" s="4" t="inlineStr">
        <is>
          <t>B2C Family — price / mo</t>
        </is>
      </c>
      <c r="B23" s="8" t="n">
        <v>79</v>
      </c>
    </row>
    <row r="24">
      <c r="A24" s="4" t="inlineStr">
        <is>
          <t>B2C one-time setup fee</t>
        </is>
      </c>
      <c r="B24" s="8" t="n">
        <v>99</v>
      </c>
    </row>
    <row r="25">
      <c r="A25" s="4" t="inlineStr">
        <is>
          <t>% of new B2C taking setup</t>
        </is>
      </c>
      <c r="B25" s="6" t="n">
        <v>0.6</v>
      </c>
    </row>
    <row r="27">
      <c r="A27" s="3" t="inlineStr">
        <is>
          <t>ARPU (derived monthly recurring per customer)</t>
        </is>
      </c>
    </row>
    <row r="28">
      <c r="A28" s="4" t="inlineStr">
        <is>
          <t>ARPU — B2B account / mo</t>
        </is>
      </c>
      <c r="B28" s="12">
        <f>MAX(Drivers!$B$21,Drivers!$B$20*Drivers!$B$22)</f>
        <v/>
      </c>
    </row>
    <row r="29">
      <c r="A29" s="4" t="inlineStr">
        <is>
          <t>ARPU — B2C member / mo</t>
        </is>
      </c>
      <c r="B29" s="12">
        <f>Drivers!$B$23</f>
        <v/>
      </c>
    </row>
    <row r="31">
      <c r="A31" s="3" t="inlineStr">
        <is>
          <t>CAC BY CHANNEL</t>
        </is>
      </c>
    </row>
    <row r="32">
      <c r="A32" s="4" t="inlineStr">
        <is>
          <t>CAC — B2B (outbound/partner)</t>
        </is>
      </c>
      <c r="B32" s="8" t="n">
        <v>850</v>
      </c>
    </row>
    <row r="33">
      <c r="A33" s="4" t="inlineStr">
        <is>
          <t>CAC — B2C (paid social)</t>
        </is>
      </c>
      <c r="B33" s="8" t="n">
        <v>65</v>
      </c>
    </row>
    <row r="35">
      <c r="A35" s="3" t="inlineStr">
        <is>
          <t>USAGE INTENSITY (drives variable cost)</t>
        </is>
      </c>
    </row>
    <row r="36">
      <c r="A36" s="4" t="inlineStr">
        <is>
          <t>Tickets per B2B account / mo</t>
        </is>
      </c>
      <c r="B36" s="11" t="n">
        <v>40</v>
      </c>
    </row>
    <row r="37">
      <c r="A37" s="4" t="inlineStr">
        <is>
          <t>Sessions per B2C member / mo</t>
        </is>
      </c>
      <c r="B37" s="11" t="n">
        <v>6</v>
      </c>
    </row>
    <row r="38">
      <c r="A38" s="4" t="inlineStr">
        <is>
          <t>Other fixed opex / mo (G&amp;A)</t>
        </is>
      </c>
      <c r="B38" s="8" t="n">
        <v>6000</v>
      </c>
    </row>
    <row r="39">
      <c r="A39" s="4" t="inlineStr">
        <is>
          <t>Starting cash balance</t>
        </is>
      </c>
      <c r="B39" s="8" t="n">
        <v>150000</v>
      </c>
    </row>
    <row r="40">
      <c r="A40" s="4" t="inlineStr">
        <is>
          <t>Ad spend / mo (S&amp;M, growth)</t>
        </is>
      </c>
      <c r="B40" s="8" t="n">
        <v>8000</v>
      </c>
    </row>
    <row r="42">
      <c r="A42" s="3" t="inlineStr">
        <is>
          <t>SCENARIO TOGGLE  (1=Conservative, 2=Base, 3=Aggressive)</t>
        </is>
      </c>
    </row>
    <row r="43">
      <c r="A43" s="13" t="inlineStr">
        <is>
          <t>Active scenario</t>
        </is>
      </c>
      <c r="B43" s="11" t="n">
        <v>2</v>
      </c>
    </row>
    <row r="44">
      <c r="A44" s="4" t="inlineStr">
        <is>
          <t>Active scenario name</t>
        </is>
      </c>
      <c r="B44" s="14">
        <f>CHOOSE(Drivers!$B$43,"Conservative","Base","Aggressive")</f>
        <v/>
      </c>
    </row>
    <row r="46">
      <c r="A46" s="15" t="inlineStr">
        <is>
          <t>Scenario drivers</t>
        </is>
      </c>
      <c r="B46" s="15" t="inlineStr">
        <is>
          <t>Conservative</t>
        </is>
      </c>
      <c r="C46" s="15" t="inlineStr">
        <is>
          <t>Base</t>
        </is>
      </c>
      <c r="D46" s="15" t="inlineStr">
        <is>
          <t>Aggressive</t>
        </is>
      </c>
      <c r="E46" s="15" t="inlineStr">
        <is>
          <t>ACTIVE</t>
        </is>
      </c>
    </row>
    <row r="47">
      <c r="A47" s="4" t="inlineStr">
        <is>
          <t>New B2C members / mo (M1)</t>
        </is>
      </c>
      <c r="B47" s="11" t="n">
        <v>60</v>
      </c>
      <c r="C47" s="11" t="n">
        <v>120</v>
      </c>
      <c r="D47" s="11" t="n">
        <v>220</v>
      </c>
      <c r="E47" s="16">
        <f>CHOOSE(Drivers!$B$43,B47,C47,D47)</f>
        <v/>
      </c>
    </row>
    <row r="48">
      <c r="A48" s="4" t="inlineStr">
        <is>
          <t>B2C monthly growth rate</t>
        </is>
      </c>
      <c r="B48" s="6" t="n">
        <v>0.08</v>
      </c>
      <c r="C48" s="6" t="n">
        <v>0.15</v>
      </c>
      <c r="D48" s="6" t="n">
        <v>0.25</v>
      </c>
      <c r="E48" s="17">
        <f>CHOOSE(Drivers!$B$43,B48,C48,D48)</f>
        <v/>
      </c>
    </row>
    <row r="49">
      <c r="A49" s="4" t="inlineStr">
        <is>
          <t>New B2B accounts / mo (M1)</t>
        </is>
      </c>
      <c r="B49" s="11" t="n">
        <v>2</v>
      </c>
      <c r="C49" s="11" t="n">
        <v>4</v>
      </c>
      <c r="D49" s="11" t="n">
        <v>7</v>
      </c>
      <c r="E49" s="16">
        <f>CHOOSE(Drivers!$B$43,B49,C49,D49)</f>
        <v/>
      </c>
    </row>
    <row r="50">
      <c r="A50" s="4" t="inlineStr">
        <is>
          <t>B2B monthly growth rate</t>
        </is>
      </c>
      <c r="B50" s="6" t="n">
        <v>0.06</v>
      </c>
      <c r="C50" s="6" t="n">
        <v>0.12</v>
      </c>
      <c r="D50" s="6" t="n">
        <v>0.2</v>
      </c>
      <c r="E50" s="17">
        <f>CHOOSE(Drivers!$B$43,B50,C50,D50)</f>
        <v/>
      </c>
    </row>
    <row r="51">
      <c r="A51" s="4" t="inlineStr">
        <is>
          <t>Deflection rate override</t>
        </is>
      </c>
      <c r="B51" s="6" t="n">
        <v>0.68</v>
      </c>
      <c r="C51" s="6" t="n">
        <v>0.75</v>
      </c>
      <c r="D51" s="6" t="n">
        <v>0.82</v>
      </c>
      <c r="E51" s="17">
        <f>CHOOSE(Drivers!$B$43,B51,C51,D51)</f>
        <v/>
      </c>
    </row>
    <row r="52">
      <c r="A52" s="4" t="inlineStr">
        <is>
          <t>CAC multiplier</t>
        </is>
      </c>
      <c r="B52" s="11" t="n">
        <v>1.15</v>
      </c>
      <c r="C52" s="11" t="n">
        <v>1</v>
      </c>
      <c r="D52" s="11" t="n">
        <v>0.9</v>
      </c>
      <c r="E52" s="16">
        <f>CHOOSE(Drivers!$B$43,B52,C52,D52)</f>
        <v/>
      </c>
    </row>
  </sheetData>
  <mergeCells count="8">
    <mergeCell ref="A4:H4"/>
    <mergeCell ref="A35:H35"/>
    <mergeCell ref="A42:H42"/>
    <mergeCell ref="A13:H13"/>
    <mergeCell ref="A19:H19"/>
    <mergeCell ref="A1:H1"/>
    <mergeCell ref="A27:H27"/>
    <mergeCell ref="A31:H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1" t="inlineStr">
        <is>
          <t>KLARAVEX — Unit Economics (live formulas)</t>
        </is>
      </c>
    </row>
    <row r="3">
      <c r="A3" s="3" t="inlineStr">
        <is>
          <t>VARIABLE COST TO SERVE</t>
        </is>
      </c>
    </row>
    <row r="4">
      <c r="A4" s="4" t="inlineStr">
        <is>
          <t>Cost per AI ticket (B2B)</t>
        </is>
      </c>
      <c r="B4" s="18">
        <f>Drivers!$B$5</f>
        <v/>
      </c>
    </row>
    <row r="5">
      <c r="A5" s="4" t="inlineStr">
        <is>
          <t>Cost per human escalation (B2B)</t>
        </is>
      </c>
      <c r="B5" s="18">
        <f>(1-Drivers!$E$51)*Drivers!$B$9*Drivers!$B$10</f>
        <v/>
      </c>
    </row>
    <row r="6">
      <c r="A6" s="4" t="inlineStr">
        <is>
          <t>Blended var cost / B2B ticket</t>
        </is>
      </c>
      <c r="B6" s="19">
        <f>Drivers!$E$51*Drivers!$B$5+(1-Drivers!$E$51)*Drivers!$B$9*Drivers!$B$10</f>
        <v/>
      </c>
    </row>
    <row r="7">
      <c r="A7" s="4" t="inlineStr">
        <is>
          <t>Var cost / B2B account / mo</t>
        </is>
      </c>
      <c r="B7" s="19">
        <f>UnitEconomics!$B$6*Drivers!$B$36</f>
        <v/>
      </c>
    </row>
    <row r="8">
      <c r="A8" s="4" t="inlineStr">
        <is>
          <t>Cost per AI session (B2C)</t>
        </is>
      </c>
      <c r="B8" s="18">
        <f>Drivers!$B$6</f>
        <v/>
      </c>
    </row>
    <row r="9">
      <c r="A9" s="4" t="inlineStr">
        <is>
          <t>Blended var cost / B2C session</t>
        </is>
      </c>
      <c r="B9" s="19">
        <f>Drivers!$E$51*Drivers!$B$6+(1-Drivers!$E$51)*Drivers!$B$9*Drivers!$B$10</f>
        <v/>
      </c>
    </row>
    <row r="10">
      <c r="A10" s="4" t="inlineStr">
        <is>
          <t>Var cost / B2C member / mo</t>
        </is>
      </c>
      <c r="B10" s="19">
        <f>UnitEconomics!$B$9*Drivers!$B$37</f>
        <v/>
      </c>
    </row>
    <row r="12">
      <c r="A12" s="3" t="inlineStr">
        <is>
          <t>GROSS MARGIN PER OFFERING</t>
        </is>
      </c>
    </row>
    <row r="13">
      <c r="A13" s="15" t="inlineStr">
        <is>
          <t>ARPU</t>
        </is>
      </c>
      <c r="B13" s="15" t="inlineStr">
        <is>
          <t>B2B account</t>
        </is>
      </c>
      <c r="C13" s="15" t="inlineStr">
        <is>
          <t>B2C member</t>
        </is>
      </c>
    </row>
    <row r="14">
      <c r="A14" s="4" t="inlineStr">
        <is>
          <t>ARPU / mo</t>
        </is>
      </c>
      <c r="B14" s="20">
        <f>Drivers!$B$28</f>
        <v/>
      </c>
      <c r="C14" s="20">
        <f>Drivers!$B$29</f>
        <v/>
      </c>
    </row>
    <row r="15">
      <c r="A15" s="4" t="inlineStr">
        <is>
          <t>Processing cost / mo</t>
        </is>
      </c>
      <c r="B15" s="18">
        <f>B14*Drivers!$B$16</f>
        <v/>
      </c>
      <c r="C15" s="18">
        <f>C14*Drivers!$B$16</f>
        <v/>
      </c>
    </row>
    <row r="16">
      <c r="A16" s="4" t="inlineStr">
        <is>
          <t>Var cost to serve / mo</t>
        </is>
      </c>
      <c r="B16" s="18">
        <f>UnitEconomics!$B$7</f>
        <v/>
      </c>
      <c r="C16" s="18">
        <f>UnitEconomics!$B$10</f>
        <v/>
      </c>
    </row>
    <row r="17">
      <c r="A17" s="4" t="inlineStr">
        <is>
          <t>Gross profit / mo</t>
        </is>
      </c>
      <c r="B17" s="19">
        <f>B14-B14*Drivers!$B$16-UnitEconomics!$B$7</f>
        <v/>
      </c>
      <c r="C17" s="19">
        <f>C14-C14*Drivers!$B$16-UnitEconomics!$B$10</f>
        <v/>
      </c>
    </row>
    <row r="18">
      <c r="A18" s="4" t="inlineStr">
        <is>
          <t>Gross margin %</t>
        </is>
      </c>
      <c r="B18" s="17">
        <f>B17/B14</f>
        <v/>
      </c>
      <c r="C18" s="17">
        <f>C17/C14</f>
        <v/>
      </c>
    </row>
    <row r="20">
      <c r="A20" s="3" t="inlineStr">
        <is>
          <t>LTV / CAC / PAYBACK</t>
        </is>
      </c>
    </row>
    <row r="21">
      <c r="A21" s="4" t="inlineStr">
        <is>
          <t>Avg customer lifetime (mo) = 1/churn</t>
        </is>
      </c>
      <c r="B21" s="21">
        <f>1/Drivers!$B$14</f>
        <v/>
      </c>
      <c r="C21" s="21">
        <f>1/Drivers!$B$15</f>
        <v/>
      </c>
    </row>
    <row r="22">
      <c r="A22" s="4" t="inlineStr">
        <is>
          <t>LTV (gross profit * lifetime)</t>
        </is>
      </c>
      <c r="B22" s="12">
        <f>B17*B21</f>
        <v/>
      </c>
      <c r="C22" s="12">
        <f>C17*C21</f>
        <v/>
      </c>
    </row>
    <row r="23">
      <c r="A23" s="4" t="inlineStr">
        <is>
          <t>CAC (scenario-adjusted)</t>
        </is>
      </c>
      <c r="B23" s="20">
        <f>Drivers!$B$32*Drivers!$E$52</f>
        <v/>
      </c>
      <c r="C23" s="20">
        <f>Drivers!$B$33*Drivers!$E$52</f>
        <v/>
      </c>
    </row>
    <row r="24">
      <c r="A24" s="4" t="inlineStr">
        <is>
          <t>LTV : CAC</t>
        </is>
      </c>
      <c r="B24" s="22">
        <f>B22/B23</f>
        <v/>
      </c>
      <c r="C24" s="22">
        <f>C22/C23</f>
        <v/>
      </c>
    </row>
    <row r="25">
      <c r="A25" s="4" t="inlineStr">
        <is>
          <t>Payback (months)</t>
        </is>
      </c>
      <c r="B25" s="23">
        <f>B23/B17</f>
        <v/>
      </c>
      <c r="C25" s="23">
        <f>C23/C17</f>
        <v/>
      </c>
    </row>
  </sheetData>
  <mergeCells count="4">
    <mergeCell ref="A12:D12"/>
    <mergeCell ref="A3:D3"/>
    <mergeCell ref="A20:D2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KLARAVEX — 12-Month P&amp;L / Projection (driver-linked, scenario-aware)</t>
        </is>
      </c>
    </row>
    <row r="3">
      <c r="A3" s="15" t="inlineStr">
        <is>
          <t>Line item ($)</t>
        </is>
      </c>
      <c r="B3" s="24" t="inlineStr">
        <is>
          <t>M1</t>
        </is>
      </c>
      <c r="C3" s="24" t="inlineStr">
        <is>
          <t>M2</t>
        </is>
      </c>
      <c r="D3" s="24" t="inlineStr">
        <is>
          <t>M3</t>
        </is>
      </c>
      <c r="E3" s="24" t="inlineStr">
        <is>
          <t>M4</t>
        </is>
      </c>
      <c r="F3" s="24" t="inlineStr">
        <is>
          <t>M5</t>
        </is>
      </c>
      <c r="G3" s="24" t="inlineStr">
        <is>
          <t>M6</t>
        </is>
      </c>
      <c r="H3" s="24" t="inlineStr">
        <is>
          <t>M7</t>
        </is>
      </c>
      <c r="I3" s="24" t="inlineStr">
        <is>
          <t>M8</t>
        </is>
      </c>
      <c r="J3" s="24" t="inlineStr">
        <is>
          <t>M9</t>
        </is>
      </c>
      <c r="K3" s="24" t="inlineStr">
        <is>
          <t>M10</t>
        </is>
      </c>
      <c r="L3" s="24" t="inlineStr">
        <is>
          <t>M11</t>
        </is>
      </c>
      <c r="M3" s="24" t="inlineStr">
        <is>
          <t>M12</t>
        </is>
      </c>
    </row>
    <row r="4">
      <c r="A4" s="4" t="inlineStr">
        <is>
          <t>New B2C members</t>
        </is>
      </c>
      <c r="B4" s="25">
        <f>Drivers!$E$47</f>
        <v/>
      </c>
      <c r="C4" s="25">
        <f>B4*(1+Drivers!$E$48)</f>
        <v/>
      </c>
      <c r="D4" s="25">
        <f>C4*(1+Drivers!$E$48)</f>
        <v/>
      </c>
      <c r="E4" s="25">
        <f>D4*(1+Drivers!$E$48)</f>
        <v/>
      </c>
      <c r="F4" s="25">
        <f>E4*(1+Drivers!$E$48)</f>
        <v/>
      </c>
      <c r="G4" s="25">
        <f>F4*(1+Drivers!$E$48)</f>
        <v/>
      </c>
      <c r="H4" s="25">
        <f>G4*(1+Drivers!$E$48)</f>
        <v/>
      </c>
      <c r="I4" s="25">
        <f>H4*(1+Drivers!$E$48)</f>
        <v/>
      </c>
      <c r="J4" s="25">
        <f>I4*(1+Drivers!$E$48)</f>
        <v/>
      </c>
      <c r="K4" s="25">
        <f>J4*(1+Drivers!$E$48)</f>
        <v/>
      </c>
      <c r="L4" s="25">
        <f>K4*(1+Drivers!$E$48)</f>
        <v/>
      </c>
      <c r="M4" s="25">
        <f>L4*(1+Drivers!$E$48)</f>
        <v/>
      </c>
    </row>
    <row r="5">
      <c r="A5" s="4" t="inlineStr">
        <is>
          <t>New B2B accounts</t>
        </is>
      </c>
      <c r="B5" s="25">
        <f>Drivers!$E$49</f>
        <v/>
      </c>
      <c r="C5" s="25">
        <f>B5*(1+Drivers!$E$50)</f>
        <v/>
      </c>
      <c r="D5" s="25">
        <f>C5*(1+Drivers!$E$50)</f>
        <v/>
      </c>
      <c r="E5" s="25">
        <f>D5*(1+Drivers!$E$50)</f>
        <v/>
      </c>
      <c r="F5" s="25">
        <f>E5*(1+Drivers!$E$50)</f>
        <v/>
      </c>
      <c r="G5" s="25">
        <f>F5*(1+Drivers!$E$50)</f>
        <v/>
      </c>
      <c r="H5" s="25">
        <f>G5*(1+Drivers!$E$50)</f>
        <v/>
      </c>
      <c r="I5" s="25">
        <f>H5*(1+Drivers!$E$50)</f>
        <v/>
      </c>
      <c r="J5" s="25">
        <f>I5*(1+Drivers!$E$50)</f>
        <v/>
      </c>
      <c r="K5" s="25">
        <f>J5*(1+Drivers!$E$50)</f>
        <v/>
      </c>
      <c r="L5" s="25">
        <f>K5*(1+Drivers!$E$50)</f>
        <v/>
      </c>
      <c r="M5" s="25">
        <f>L5*(1+Drivers!$E$50)</f>
        <v/>
      </c>
    </row>
    <row r="6">
      <c r="A6" s="4" t="inlineStr">
        <is>
          <t>Active B2C members</t>
        </is>
      </c>
      <c r="B6" s="25">
        <f>B4</f>
        <v/>
      </c>
      <c r="C6" s="25">
        <f>B6*(1-Drivers!$B$15)+C4</f>
        <v/>
      </c>
      <c r="D6" s="25">
        <f>C6*(1-Drivers!$B$15)+D4</f>
        <v/>
      </c>
      <c r="E6" s="25">
        <f>D6*(1-Drivers!$B$15)+E4</f>
        <v/>
      </c>
      <c r="F6" s="25">
        <f>E6*(1-Drivers!$B$15)+F4</f>
        <v/>
      </c>
      <c r="G6" s="25">
        <f>F6*(1-Drivers!$B$15)+G4</f>
        <v/>
      </c>
      <c r="H6" s="25">
        <f>G6*(1-Drivers!$B$15)+H4</f>
        <v/>
      </c>
      <c r="I6" s="25">
        <f>H6*(1-Drivers!$B$15)+I4</f>
        <v/>
      </c>
      <c r="J6" s="25">
        <f>I6*(1-Drivers!$B$15)+J4</f>
        <v/>
      </c>
      <c r="K6" s="25">
        <f>J6*(1-Drivers!$B$15)+K4</f>
        <v/>
      </c>
      <c r="L6" s="25">
        <f>K6*(1-Drivers!$B$15)+L4</f>
        <v/>
      </c>
      <c r="M6" s="25">
        <f>L6*(1-Drivers!$B$15)+M4</f>
        <v/>
      </c>
    </row>
    <row r="7">
      <c r="A7" s="4" t="inlineStr">
        <is>
          <t>Active B2B accounts</t>
        </is>
      </c>
      <c r="B7" s="25">
        <f>B5</f>
        <v/>
      </c>
      <c r="C7" s="25">
        <f>B7*(1-Drivers!$B$14)+C5</f>
        <v/>
      </c>
      <c r="D7" s="25">
        <f>C7*(1-Drivers!$B$14)+D5</f>
        <v/>
      </c>
      <c r="E7" s="25">
        <f>D7*(1-Drivers!$B$14)+E5</f>
        <v/>
      </c>
      <c r="F7" s="25">
        <f>E7*(1-Drivers!$B$14)+F5</f>
        <v/>
      </c>
      <c r="G7" s="25">
        <f>F7*(1-Drivers!$B$14)+G5</f>
        <v/>
      </c>
      <c r="H7" s="25">
        <f>G7*(1-Drivers!$B$14)+H5</f>
        <v/>
      </c>
      <c r="I7" s="25">
        <f>H7*(1-Drivers!$B$14)+I5</f>
        <v/>
      </c>
      <c r="J7" s="25">
        <f>I7*(1-Drivers!$B$14)+J5</f>
        <v/>
      </c>
      <c r="K7" s="25">
        <f>J7*(1-Drivers!$B$14)+K5</f>
        <v/>
      </c>
      <c r="L7" s="25">
        <f>K7*(1-Drivers!$B$14)+L5</f>
        <v/>
      </c>
      <c r="M7" s="25">
        <f>L7*(1-Drivers!$B$14)+M5</f>
        <v/>
      </c>
    </row>
    <row r="8">
      <c r="A8" s="4" t="inlineStr">
        <is>
          <t>MRR — B2C</t>
        </is>
      </c>
      <c r="B8" s="20">
        <f>B6*Drivers!$B$29</f>
        <v/>
      </c>
      <c r="C8" s="20">
        <f>C6*Drivers!$B$29</f>
        <v/>
      </c>
      <c r="D8" s="20">
        <f>D6*Drivers!$B$29</f>
        <v/>
      </c>
      <c r="E8" s="20">
        <f>E6*Drivers!$B$29</f>
        <v/>
      </c>
      <c r="F8" s="20">
        <f>F6*Drivers!$B$29</f>
        <v/>
      </c>
      <c r="G8" s="20">
        <f>G6*Drivers!$B$29</f>
        <v/>
      </c>
      <c r="H8" s="20">
        <f>H6*Drivers!$B$29</f>
        <v/>
      </c>
      <c r="I8" s="20">
        <f>I6*Drivers!$B$29</f>
        <v/>
      </c>
      <c r="J8" s="20">
        <f>J6*Drivers!$B$29</f>
        <v/>
      </c>
      <c r="K8" s="20">
        <f>K6*Drivers!$B$29</f>
        <v/>
      </c>
      <c r="L8" s="20">
        <f>L6*Drivers!$B$29</f>
        <v/>
      </c>
      <c r="M8" s="20">
        <f>M6*Drivers!$B$29</f>
        <v/>
      </c>
    </row>
    <row r="9">
      <c r="A9" s="4" t="inlineStr">
        <is>
          <t>MRR — B2B</t>
        </is>
      </c>
      <c r="B9" s="20">
        <f>B7*Drivers!$B$28</f>
        <v/>
      </c>
      <c r="C9" s="20">
        <f>C7*Drivers!$B$28</f>
        <v/>
      </c>
      <c r="D9" s="20">
        <f>D7*Drivers!$B$28</f>
        <v/>
      </c>
      <c r="E9" s="20">
        <f>E7*Drivers!$B$28</f>
        <v/>
      </c>
      <c r="F9" s="20">
        <f>F7*Drivers!$B$28</f>
        <v/>
      </c>
      <c r="G9" s="20">
        <f>G7*Drivers!$B$28</f>
        <v/>
      </c>
      <c r="H9" s="20">
        <f>H7*Drivers!$B$28</f>
        <v/>
      </c>
      <c r="I9" s="20">
        <f>I7*Drivers!$B$28</f>
        <v/>
      </c>
      <c r="J9" s="20">
        <f>J7*Drivers!$B$28</f>
        <v/>
      </c>
      <c r="K9" s="20">
        <f>K7*Drivers!$B$28</f>
        <v/>
      </c>
      <c r="L9" s="20">
        <f>L7*Drivers!$B$28</f>
        <v/>
      </c>
      <c r="M9" s="20">
        <f>M7*Drivers!$B$28</f>
        <v/>
      </c>
    </row>
    <row r="10">
      <c r="A10" s="13" t="inlineStr">
        <is>
          <t>Total MRR</t>
        </is>
      </c>
      <c r="B10" s="20">
        <f>B8+B9</f>
        <v/>
      </c>
      <c r="C10" s="20">
        <f>C8+C9</f>
        <v/>
      </c>
      <c r="D10" s="20">
        <f>D8+D9</f>
        <v/>
      </c>
      <c r="E10" s="20">
        <f>E8+E9</f>
        <v/>
      </c>
      <c r="F10" s="20">
        <f>F8+F9</f>
        <v/>
      </c>
      <c r="G10" s="20">
        <f>G8+G9</f>
        <v/>
      </c>
      <c r="H10" s="20">
        <f>H8+H9</f>
        <v/>
      </c>
      <c r="I10" s="20">
        <f>I8+I9</f>
        <v/>
      </c>
      <c r="J10" s="20">
        <f>J8+J9</f>
        <v/>
      </c>
      <c r="K10" s="20">
        <f>K8+K9</f>
        <v/>
      </c>
      <c r="L10" s="20">
        <f>L8+L9</f>
        <v/>
      </c>
      <c r="M10" s="20">
        <f>M8+M9</f>
        <v/>
      </c>
    </row>
    <row r="11">
      <c r="A11" s="4" t="inlineStr">
        <is>
          <t>One-time revenue (setup)</t>
        </is>
      </c>
      <c r="B11" s="20">
        <f>B4*Drivers!$B$25*Drivers!$B$24</f>
        <v/>
      </c>
      <c r="C11" s="20">
        <f>C4*Drivers!$B$25*Drivers!$B$24</f>
        <v/>
      </c>
      <c r="D11" s="20">
        <f>D4*Drivers!$B$25*Drivers!$B$24</f>
        <v/>
      </c>
      <c r="E11" s="20">
        <f>E4*Drivers!$B$25*Drivers!$B$24</f>
        <v/>
      </c>
      <c r="F11" s="20">
        <f>F4*Drivers!$B$25*Drivers!$B$24</f>
        <v/>
      </c>
      <c r="G11" s="20">
        <f>G4*Drivers!$B$25*Drivers!$B$24</f>
        <v/>
      </c>
      <c r="H11" s="20">
        <f>H4*Drivers!$B$25*Drivers!$B$24</f>
        <v/>
      </c>
      <c r="I11" s="20">
        <f>I4*Drivers!$B$25*Drivers!$B$24</f>
        <v/>
      </c>
      <c r="J11" s="20">
        <f>J4*Drivers!$B$25*Drivers!$B$24</f>
        <v/>
      </c>
      <c r="K11" s="20">
        <f>K4*Drivers!$B$25*Drivers!$B$24</f>
        <v/>
      </c>
      <c r="L11" s="20">
        <f>L4*Drivers!$B$25*Drivers!$B$24</f>
        <v/>
      </c>
      <c r="M11" s="20">
        <f>M4*Drivers!$B$25*Drivers!$B$24</f>
        <v/>
      </c>
    </row>
    <row r="12">
      <c r="A12" s="13" t="inlineStr">
        <is>
          <t>TOTAL REVENUE</t>
        </is>
      </c>
      <c r="B12" s="12">
        <f>B10+B11</f>
        <v/>
      </c>
      <c r="C12" s="12">
        <f>C10+C11</f>
        <v/>
      </c>
      <c r="D12" s="12">
        <f>D10+D11</f>
        <v/>
      </c>
      <c r="E12" s="12">
        <f>E10+E11</f>
        <v/>
      </c>
      <c r="F12" s="12">
        <f>F10+F11</f>
        <v/>
      </c>
      <c r="G12" s="12">
        <f>G10+G11</f>
        <v/>
      </c>
      <c r="H12" s="12">
        <f>H10+H11</f>
        <v/>
      </c>
      <c r="I12" s="12">
        <f>I10+I11</f>
        <v/>
      </c>
      <c r="J12" s="12">
        <f>J10+J11</f>
        <v/>
      </c>
      <c r="K12" s="12">
        <f>K10+K11</f>
        <v/>
      </c>
      <c r="L12" s="12">
        <f>L10+L11</f>
        <v/>
      </c>
      <c r="M12" s="12">
        <f>M10+M11</f>
        <v/>
      </c>
    </row>
    <row r="13">
      <c r="A13" s="4" t="inlineStr">
        <is>
          <t>COGS (var cost + processing)</t>
        </is>
      </c>
      <c r="B13" s="20">
        <f>B6*UnitEconomics!$B$10+B7*UnitEconomics!$B$7+B12*Drivers!$B$16</f>
        <v/>
      </c>
      <c r="C13" s="20">
        <f>C6*UnitEconomics!$B$10+C7*UnitEconomics!$B$7+C12*Drivers!$B$16</f>
        <v/>
      </c>
      <c r="D13" s="20">
        <f>D6*UnitEconomics!$B$10+D7*UnitEconomics!$B$7+D12*Drivers!$B$16</f>
        <v/>
      </c>
      <c r="E13" s="20">
        <f>E6*UnitEconomics!$B$10+E7*UnitEconomics!$B$7+E12*Drivers!$B$16</f>
        <v/>
      </c>
      <c r="F13" s="20">
        <f>F6*UnitEconomics!$B$10+F7*UnitEconomics!$B$7+F12*Drivers!$B$16</f>
        <v/>
      </c>
      <c r="G13" s="20">
        <f>G6*UnitEconomics!$B$10+G7*UnitEconomics!$B$7+G12*Drivers!$B$16</f>
        <v/>
      </c>
      <c r="H13" s="20">
        <f>H6*UnitEconomics!$B$10+H7*UnitEconomics!$B$7+H12*Drivers!$B$16</f>
        <v/>
      </c>
      <c r="I13" s="20">
        <f>I6*UnitEconomics!$B$10+I7*UnitEconomics!$B$7+I12*Drivers!$B$16</f>
        <v/>
      </c>
      <c r="J13" s="20">
        <f>J6*UnitEconomics!$B$10+J7*UnitEconomics!$B$7+J12*Drivers!$B$16</f>
        <v/>
      </c>
      <c r="K13" s="20">
        <f>K6*UnitEconomics!$B$10+K7*UnitEconomics!$B$7+K12*Drivers!$B$16</f>
        <v/>
      </c>
      <c r="L13" s="20">
        <f>L6*UnitEconomics!$B$10+L7*UnitEconomics!$B$7+L12*Drivers!$B$16</f>
        <v/>
      </c>
      <c r="M13" s="20">
        <f>M6*UnitEconomics!$B$10+M7*UnitEconomics!$B$7+M12*Drivers!$B$16</f>
        <v/>
      </c>
    </row>
    <row r="14">
      <c r="A14" s="13" t="inlineStr">
        <is>
          <t>Gross margin $</t>
        </is>
      </c>
      <c r="B14" s="20">
        <f>B12-B13</f>
        <v/>
      </c>
      <c r="C14" s="20">
        <f>C12-C13</f>
        <v/>
      </c>
      <c r="D14" s="20">
        <f>D12-D13</f>
        <v/>
      </c>
      <c r="E14" s="20">
        <f>E12-E13</f>
        <v/>
      </c>
      <c r="F14" s="20">
        <f>F12-F13</f>
        <v/>
      </c>
      <c r="G14" s="20">
        <f>G12-G13</f>
        <v/>
      </c>
      <c r="H14" s="20">
        <f>H12-H13</f>
        <v/>
      </c>
      <c r="I14" s="20">
        <f>I12-I13</f>
        <v/>
      </c>
      <c r="J14" s="20">
        <f>J12-J13</f>
        <v/>
      </c>
      <c r="K14" s="20">
        <f>K12-K13</f>
        <v/>
      </c>
      <c r="L14" s="20">
        <f>L12-L13</f>
        <v/>
      </c>
      <c r="M14" s="20">
        <f>M12-M13</f>
        <v/>
      </c>
    </row>
    <row r="15">
      <c r="A15" s="4" t="inlineStr">
        <is>
          <t>Gross margin %</t>
        </is>
      </c>
      <c r="B15" s="7">
        <f>B14/B12</f>
        <v/>
      </c>
      <c r="C15" s="7">
        <f>C14/C12</f>
        <v/>
      </c>
      <c r="D15" s="7">
        <f>D14/D12</f>
        <v/>
      </c>
      <c r="E15" s="7">
        <f>E14/E12</f>
        <v/>
      </c>
      <c r="F15" s="7">
        <f>F14/F12</f>
        <v/>
      </c>
      <c r="G15" s="7">
        <f>G14/G12</f>
        <v/>
      </c>
      <c r="H15" s="7">
        <f>H14/H12</f>
        <v/>
      </c>
      <c r="I15" s="7">
        <f>I14/I12</f>
        <v/>
      </c>
      <c r="J15" s="7">
        <f>J14/J12</f>
        <v/>
      </c>
      <c r="K15" s="7">
        <f>K14/K12</f>
        <v/>
      </c>
      <c r="L15" s="7">
        <f>L14/L12</f>
        <v/>
      </c>
      <c r="M15" s="7">
        <f>M14/M12</f>
        <v/>
      </c>
    </row>
    <row r="16">
      <c r="A16" s="4" t="inlineStr">
        <is>
          <t>Acquisition cost (CAC)</t>
        </is>
      </c>
      <c r="B16" s="20">
        <f>B4*Drivers!$B$33*Drivers!$E$52+B5*Drivers!$B$32*Drivers!$E$52</f>
        <v/>
      </c>
      <c r="C16" s="20">
        <f>C4*Drivers!$B$33*Drivers!$E$52+C5*Drivers!$B$32*Drivers!$E$52</f>
        <v/>
      </c>
      <c r="D16" s="20">
        <f>D4*Drivers!$B$33*Drivers!$E$52+D5*Drivers!$B$32*Drivers!$E$52</f>
        <v/>
      </c>
      <c r="E16" s="20">
        <f>E4*Drivers!$B$33*Drivers!$E$52+E5*Drivers!$B$32*Drivers!$E$52</f>
        <v/>
      </c>
      <c r="F16" s="20">
        <f>F4*Drivers!$B$33*Drivers!$E$52+F5*Drivers!$B$32*Drivers!$E$52</f>
        <v/>
      </c>
      <c r="G16" s="20">
        <f>G4*Drivers!$B$33*Drivers!$E$52+G5*Drivers!$B$32*Drivers!$E$52</f>
        <v/>
      </c>
      <c r="H16" s="20">
        <f>H4*Drivers!$B$33*Drivers!$E$52+H5*Drivers!$B$32*Drivers!$E$52</f>
        <v/>
      </c>
      <c r="I16" s="20">
        <f>I4*Drivers!$B$33*Drivers!$E$52+I5*Drivers!$B$32*Drivers!$E$52</f>
        <v/>
      </c>
      <c r="J16" s="20">
        <f>J4*Drivers!$B$33*Drivers!$E$52+J5*Drivers!$B$32*Drivers!$E$52</f>
        <v/>
      </c>
      <c r="K16" s="20">
        <f>K4*Drivers!$B$33*Drivers!$E$52+K5*Drivers!$B$32*Drivers!$E$52</f>
        <v/>
      </c>
      <c r="L16" s="20">
        <f>L4*Drivers!$B$33*Drivers!$E$52+L5*Drivers!$B$32*Drivers!$E$52</f>
        <v/>
      </c>
      <c r="M16" s="20">
        <f>M4*Drivers!$B$33*Drivers!$E$52+M5*Drivers!$B$32*Drivers!$E$52</f>
        <v/>
      </c>
    </row>
    <row r="17">
      <c r="A17" s="4" t="inlineStr">
        <is>
          <t>Fixed opex (tooling+G&amp;A+ads)</t>
        </is>
      </c>
      <c r="B17" s="20">
        <f>Drivers!$B$11+Drivers!$B$38+Drivers!$B$40</f>
        <v/>
      </c>
      <c r="C17" s="20">
        <f>Drivers!$B$11+Drivers!$B$38+Drivers!$B$40</f>
        <v/>
      </c>
      <c r="D17" s="20">
        <f>Drivers!$B$11+Drivers!$B$38+Drivers!$B$40</f>
        <v/>
      </c>
      <c r="E17" s="20">
        <f>Drivers!$B$11+Drivers!$B$38+Drivers!$B$40</f>
        <v/>
      </c>
      <c r="F17" s="20">
        <f>Drivers!$B$11+Drivers!$B$38+Drivers!$B$40</f>
        <v/>
      </c>
      <c r="G17" s="20">
        <f>Drivers!$B$11+Drivers!$B$38+Drivers!$B$40</f>
        <v/>
      </c>
      <c r="H17" s="20">
        <f>Drivers!$B$11+Drivers!$B$38+Drivers!$B$40</f>
        <v/>
      </c>
      <c r="I17" s="20">
        <f>Drivers!$B$11+Drivers!$B$38+Drivers!$B$40</f>
        <v/>
      </c>
      <c r="J17" s="20">
        <f>Drivers!$B$11+Drivers!$B$38+Drivers!$B$40</f>
        <v/>
      </c>
      <c r="K17" s="20">
        <f>Drivers!$B$11+Drivers!$B$38+Drivers!$B$40</f>
        <v/>
      </c>
      <c r="L17" s="20">
        <f>Drivers!$B$11+Drivers!$B$38+Drivers!$B$40</f>
        <v/>
      </c>
      <c r="M17" s="20">
        <f>Drivers!$B$11+Drivers!$B$38+Drivers!$B$40</f>
        <v/>
      </c>
    </row>
    <row r="18">
      <c r="A18" s="13" t="inlineStr">
        <is>
          <t>Contribution / EBITDA</t>
        </is>
      </c>
      <c r="B18" s="12">
        <f>B14-B16-B17</f>
        <v/>
      </c>
      <c r="C18" s="12">
        <f>C14-C16-C17</f>
        <v/>
      </c>
      <c r="D18" s="12">
        <f>D14-D16-D17</f>
        <v/>
      </c>
      <c r="E18" s="12">
        <f>E14-E16-E17</f>
        <v/>
      </c>
      <c r="F18" s="12">
        <f>F14-F16-F17</f>
        <v/>
      </c>
      <c r="G18" s="12">
        <f>G14-G16-G17</f>
        <v/>
      </c>
      <c r="H18" s="12">
        <f>H14-H16-H17</f>
        <v/>
      </c>
      <c r="I18" s="12">
        <f>I14-I16-I17</f>
        <v/>
      </c>
      <c r="J18" s="12">
        <f>J14-J16-J17</f>
        <v/>
      </c>
      <c r="K18" s="12">
        <f>K14-K16-K17</f>
        <v/>
      </c>
      <c r="L18" s="12">
        <f>L14-L16-L17</f>
        <v/>
      </c>
      <c r="M18" s="12">
        <f>M14-M16-M17</f>
        <v/>
      </c>
    </row>
    <row r="19">
      <c r="A19" s="4" t="inlineStr">
        <is>
          <t>Cumulative cash</t>
        </is>
      </c>
      <c r="B19" s="20">
        <f>Drivers!$B$39+B18</f>
        <v/>
      </c>
      <c r="C19" s="20">
        <f>B19+C18</f>
        <v/>
      </c>
      <c r="D19" s="20">
        <f>C19+D18</f>
        <v/>
      </c>
      <c r="E19" s="20">
        <f>D19+E18</f>
        <v/>
      </c>
      <c r="F19" s="20">
        <f>E19+F18</f>
        <v/>
      </c>
      <c r="G19" s="20">
        <f>F19+G18</f>
        <v/>
      </c>
      <c r="H19" s="20">
        <f>G19+H18</f>
        <v/>
      </c>
      <c r="I19" s="20">
        <f>H19+I18</f>
        <v/>
      </c>
      <c r="J19" s="20">
        <f>I19+J18</f>
        <v/>
      </c>
      <c r="K19" s="20">
        <f>J19+K18</f>
        <v/>
      </c>
      <c r="L19" s="20">
        <f>K19+L18</f>
        <v/>
      </c>
      <c r="M19" s="20">
        <f>L19+M18</f>
        <v/>
      </c>
    </row>
    <row r="20">
      <c r="A20" s="4" t="inlineStr">
        <is>
          <t>Breakeven (contrib&gt;0?)</t>
        </is>
      </c>
      <c r="B20" s="14">
        <f>IF(B18&gt;0,"YES","no")</f>
        <v/>
      </c>
      <c r="C20" s="14">
        <f>IF(C18&gt;0,"YES","no")</f>
        <v/>
      </c>
      <c r="D20" s="14">
        <f>IF(D18&gt;0,"YES","no")</f>
        <v/>
      </c>
      <c r="E20" s="14">
        <f>IF(E18&gt;0,"YES","no")</f>
        <v/>
      </c>
      <c r="F20" s="14">
        <f>IF(F18&gt;0,"YES","no")</f>
        <v/>
      </c>
      <c r="G20" s="14">
        <f>IF(G18&gt;0,"YES","no")</f>
        <v/>
      </c>
      <c r="H20" s="14">
        <f>IF(H18&gt;0,"YES","no")</f>
        <v/>
      </c>
      <c r="I20" s="14">
        <f>IF(I18&gt;0,"YES","no")</f>
        <v/>
      </c>
      <c r="J20" s="14">
        <f>IF(J18&gt;0,"YES","no")</f>
        <v/>
      </c>
      <c r="K20" s="14">
        <f>IF(K18&gt;0,"YES","no")</f>
        <v/>
      </c>
      <c r="L20" s="14">
        <f>IF(L18&gt;0,"YES","no")</f>
        <v/>
      </c>
      <c r="M20" s="14">
        <f>IF(M18&gt;0,"YES","no")</f>
        <v/>
      </c>
    </row>
    <row r="22">
      <c r="A22" s="13" t="inlineStr">
        <is>
          <t>First breakeven month</t>
        </is>
      </c>
      <c r="B22" s="26">
        <f>IFERROR("M"&amp;MATCH("YES",B20:M20,0),"none in 12mo")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KLARAVEX — Scenario Comparison (toggle on Drivers!B43 drives ACTIVE)</t>
        </is>
      </c>
    </row>
    <row r="3">
      <c r="A3" s="15" t="inlineStr">
        <is>
          <t>Metric</t>
        </is>
      </c>
      <c r="B3" s="15" t="inlineStr">
        <is>
          <t>Conservative</t>
        </is>
      </c>
      <c r="C3" s="15" t="inlineStr">
        <is>
          <t>Base</t>
        </is>
      </c>
      <c r="D3" s="15" t="inlineStr">
        <is>
          <t>Aggressive</t>
        </is>
      </c>
      <c r="E3" s="15" t="inlineStr">
        <is>
          <t>ACTIVE</t>
        </is>
      </c>
    </row>
    <row r="4">
      <c r="A4" s="13" t="inlineStr">
        <is>
          <t>Deflection rate (North Star)</t>
        </is>
      </c>
      <c r="B4" s="7">
        <f>Drivers!$B$51</f>
        <v/>
      </c>
      <c r="C4" s="7">
        <f>Drivers!$C$51</f>
        <v/>
      </c>
      <c r="D4" s="7">
        <f>Drivers!$D$51</f>
        <v/>
      </c>
      <c r="E4" s="17">
        <f>Drivers!$E$51</f>
        <v/>
      </c>
    </row>
    <row r="5">
      <c r="A5" s="13" t="inlineStr">
        <is>
          <t>M12 MRR</t>
        </is>
      </c>
      <c r="B5" s="20">
        <f>((Drivers!$B$47*(1+Drivers!$B$48)^0*(1-Drivers!$B$15)^11+Drivers!$B$47*(1+Drivers!$B$48)^1*(1-Drivers!$B$15)^10+Drivers!$B$47*(1+Drivers!$B$48)^2*(1-Drivers!$B$15)^9+Drivers!$B$47*(1+Drivers!$B$48)^3*(1-Drivers!$B$15)^8+Drivers!$B$47*(1+Drivers!$B$48)^4*(1-Drivers!$B$15)^7+Drivers!$B$47*(1+Drivers!$B$48)^5*(1-Drivers!$B$15)^6+Drivers!$B$47*(1+Drivers!$B$48)^6*(1-Drivers!$B$15)^5+Drivers!$B$47*(1+Drivers!$B$48)^7*(1-Drivers!$B$15)^4+Drivers!$B$47*(1+Drivers!$B$48)^8*(1-Drivers!$B$15)^3+Drivers!$B$47*(1+Drivers!$B$48)^9*(1-Drivers!$B$15)^2+Drivers!$B$47*(1+Drivers!$B$48)^10*(1-Drivers!$B$15)^1+Drivers!$B$47*(1+Drivers!$B$48)^11*(1-Drivers!$B$15)^0)*Drivers!$B$29+(Drivers!$B$49*(1+Drivers!$B$50)^0*(1-Drivers!$B$14)^11+Drivers!$B$49*(1+Drivers!$B$50)^1*(1-Drivers!$B$14)^10+Drivers!$B$49*(1+Drivers!$B$50)^2*(1-Drivers!$B$14)^9+Drivers!$B$49*(1+Drivers!$B$50)^3*(1-Drivers!$B$14)^8+Drivers!$B$49*(1+Drivers!$B$50)^4*(1-Drivers!$B$14)^7+Drivers!$B$49*(1+Drivers!$B$50)^5*(1-Drivers!$B$14)^6+Drivers!$B$49*(1+Drivers!$B$50)^6*(1-Drivers!$B$14)^5+Drivers!$B$49*(1+Drivers!$B$50)^7*(1-Drivers!$B$14)^4+Drivers!$B$49*(1+Drivers!$B$50)^8*(1-Drivers!$B$14)^3+Drivers!$B$49*(1+Drivers!$B$50)^9*(1-Drivers!$B$14)^2+Drivers!$B$49*(1+Drivers!$B$50)^10*(1-Drivers!$B$14)^1+Drivers!$B$49*(1+Drivers!$B$50)^11*(1-Drivers!$B$14)^0)*Drivers!$B$28)</f>
        <v/>
      </c>
      <c r="C5" s="20">
        <f>((Drivers!$C$47*(1+Drivers!$C$48)^0*(1-Drivers!$B$15)^11+Drivers!$C$47*(1+Drivers!$C$48)^1*(1-Drivers!$B$15)^10+Drivers!$C$47*(1+Drivers!$C$48)^2*(1-Drivers!$B$15)^9+Drivers!$C$47*(1+Drivers!$C$48)^3*(1-Drivers!$B$15)^8+Drivers!$C$47*(1+Drivers!$C$48)^4*(1-Drivers!$B$15)^7+Drivers!$C$47*(1+Drivers!$C$48)^5*(1-Drivers!$B$15)^6+Drivers!$C$47*(1+Drivers!$C$48)^6*(1-Drivers!$B$15)^5+Drivers!$C$47*(1+Drivers!$C$48)^7*(1-Drivers!$B$15)^4+Drivers!$C$47*(1+Drivers!$C$48)^8*(1-Drivers!$B$15)^3+Drivers!$C$47*(1+Drivers!$C$48)^9*(1-Drivers!$B$15)^2+Drivers!$C$47*(1+Drivers!$C$48)^10*(1-Drivers!$B$15)^1+Drivers!$C$47*(1+Drivers!$C$48)^11*(1-Drivers!$B$15)^0)*Drivers!$B$29+(Drivers!$C$49*(1+Drivers!$C$50)^0*(1-Drivers!$B$14)^11+Drivers!$C$49*(1+Drivers!$C$50)^1*(1-Drivers!$B$14)^10+Drivers!$C$49*(1+Drivers!$C$50)^2*(1-Drivers!$B$14)^9+Drivers!$C$49*(1+Drivers!$C$50)^3*(1-Drivers!$B$14)^8+Drivers!$C$49*(1+Drivers!$C$50)^4*(1-Drivers!$B$14)^7+Drivers!$C$49*(1+Drivers!$C$50)^5*(1-Drivers!$B$14)^6+Drivers!$C$49*(1+Drivers!$C$50)^6*(1-Drivers!$B$14)^5+Drivers!$C$49*(1+Drivers!$C$50)^7*(1-Drivers!$B$14)^4+Drivers!$C$49*(1+Drivers!$C$50)^8*(1-Drivers!$B$14)^3+Drivers!$C$49*(1+Drivers!$C$50)^9*(1-Drivers!$B$14)^2+Drivers!$C$49*(1+Drivers!$C$50)^10*(1-Drivers!$B$14)^1+Drivers!$C$49*(1+Drivers!$C$50)^11*(1-Drivers!$B$14)^0)*Drivers!$B$28)</f>
        <v/>
      </c>
      <c r="D5" s="20">
        <f>((Drivers!$D$47*(1+Drivers!$D$48)^0*(1-Drivers!$B$15)^11+Drivers!$D$47*(1+Drivers!$D$48)^1*(1-Drivers!$B$15)^10+Drivers!$D$47*(1+Drivers!$D$48)^2*(1-Drivers!$B$15)^9+Drivers!$D$47*(1+Drivers!$D$48)^3*(1-Drivers!$B$15)^8+Drivers!$D$47*(1+Drivers!$D$48)^4*(1-Drivers!$B$15)^7+Drivers!$D$47*(1+Drivers!$D$48)^5*(1-Drivers!$B$15)^6+Drivers!$D$47*(1+Drivers!$D$48)^6*(1-Drivers!$B$15)^5+Drivers!$D$47*(1+Drivers!$D$48)^7*(1-Drivers!$B$15)^4+Drivers!$D$47*(1+Drivers!$D$48)^8*(1-Drivers!$B$15)^3+Drivers!$D$47*(1+Drivers!$D$48)^9*(1-Drivers!$B$15)^2+Drivers!$D$47*(1+Drivers!$D$48)^10*(1-Drivers!$B$15)^1+Drivers!$D$47*(1+Drivers!$D$48)^11*(1-Drivers!$B$15)^0)*Drivers!$B$29+(Drivers!$D$49*(1+Drivers!$D$50)^0*(1-Drivers!$B$14)^11+Drivers!$D$49*(1+Drivers!$D$50)^1*(1-Drivers!$B$14)^10+Drivers!$D$49*(1+Drivers!$D$50)^2*(1-Drivers!$B$14)^9+Drivers!$D$49*(1+Drivers!$D$50)^3*(1-Drivers!$B$14)^8+Drivers!$D$49*(1+Drivers!$D$50)^4*(1-Drivers!$B$14)^7+Drivers!$D$49*(1+Drivers!$D$50)^5*(1-Drivers!$B$14)^6+Drivers!$D$49*(1+Drivers!$D$50)^6*(1-Drivers!$B$14)^5+Drivers!$D$49*(1+Drivers!$D$50)^7*(1-Drivers!$B$14)^4+Drivers!$D$49*(1+Drivers!$D$50)^8*(1-Drivers!$B$14)^3+Drivers!$D$49*(1+Drivers!$D$50)^9*(1-Drivers!$B$14)^2+Drivers!$D$49*(1+Drivers!$D$50)^10*(1-Drivers!$B$14)^1+Drivers!$D$49*(1+Drivers!$D$50)^11*(1-Drivers!$B$14)^0)*Drivers!$B$28)</f>
        <v/>
      </c>
      <c r="E5" s="12">
        <f>Projection!$M$10</f>
        <v/>
      </c>
    </row>
    <row r="6">
      <c r="A6" s="13" t="inlineStr">
        <is>
          <t>M12 ARR run-rate</t>
        </is>
      </c>
      <c r="B6" s="20">
        <f>12*((Drivers!$B$47*(1+Drivers!$B$48)^0*(1-Drivers!$B$15)^11+Drivers!$B$47*(1+Drivers!$B$48)^1*(1-Drivers!$B$15)^10+Drivers!$B$47*(1+Drivers!$B$48)^2*(1-Drivers!$B$15)^9+Drivers!$B$47*(1+Drivers!$B$48)^3*(1-Drivers!$B$15)^8+Drivers!$B$47*(1+Drivers!$B$48)^4*(1-Drivers!$B$15)^7+Drivers!$B$47*(1+Drivers!$B$48)^5*(1-Drivers!$B$15)^6+Drivers!$B$47*(1+Drivers!$B$48)^6*(1-Drivers!$B$15)^5+Drivers!$B$47*(1+Drivers!$B$48)^7*(1-Drivers!$B$15)^4+Drivers!$B$47*(1+Drivers!$B$48)^8*(1-Drivers!$B$15)^3+Drivers!$B$47*(1+Drivers!$B$48)^9*(1-Drivers!$B$15)^2+Drivers!$B$47*(1+Drivers!$B$48)^10*(1-Drivers!$B$15)^1+Drivers!$B$47*(1+Drivers!$B$48)^11*(1-Drivers!$B$15)^0)*Drivers!$B$29+(Drivers!$B$49*(1+Drivers!$B$50)^0*(1-Drivers!$B$14)^11+Drivers!$B$49*(1+Drivers!$B$50)^1*(1-Drivers!$B$14)^10+Drivers!$B$49*(1+Drivers!$B$50)^2*(1-Drivers!$B$14)^9+Drivers!$B$49*(1+Drivers!$B$50)^3*(1-Drivers!$B$14)^8+Drivers!$B$49*(1+Drivers!$B$50)^4*(1-Drivers!$B$14)^7+Drivers!$B$49*(1+Drivers!$B$50)^5*(1-Drivers!$B$14)^6+Drivers!$B$49*(1+Drivers!$B$50)^6*(1-Drivers!$B$14)^5+Drivers!$B$49*(1+Drivers!$B$50)^7*(1-Drivers!$B$14)^4+Drivers!$B$49*(1+Drivers!$B$50)^8*(1-Drivers!$B$14)^3+Drivers!$B$49*(1+Drivers!$B$50)^9*(1-Drivers!$B$14)^2+Drivers!$B$49*(1+Drivers!$B$50)^10*(1-Drivers!$B$14)^1+Drivers!$B$49*(1+Drivers!$B$50)^11*(1-Drivers!$B$14)^0)*Drivers!$B$28)</f>
        <v/>
      </c>
      <c r="C6" s="20">
        <f>12*((Drivers!$C$47*(1+Drivers!$C$48)^0*(1-Drivers!$B$15)^11+Drivers!$C$47*(1+Drivers!$C$48)^1*(1-Drivers!$B$15)^10+Drivers!$C$47*(1+Drivers!$C$48)^2*(1-Drivers!$B$15)^9+Drivers!$C$47*(1+Drivers!$C$48)^3*(1-Drivers!$B$15)^8+Drivers!$C$47*(1+Drivers!$C$48)^4*(1-Drivers!$B$15)^7+Drivers!$C$47*(1+Drivers!$C$48)^5*(1-Drivers!$B$15)^6+Drivers!$C$47*(1+Drivers!$C$48)^6*(1-Drivers!$B$15)^5+Drivers!$C$47*(1+Drivers!$C$48)^7*(1-Drivers!$B$15)^4+Drivers!$C$47*(1+Drivers!$C$48)^8*(1-Drivers!$B$15)^3+Drivers!$C$47*(1+Drivers!$C$48)^9*(1-Drivers!$B$15)^2+Drivers!$C$47*(1+Drivers!$C$48)^10*(1-Drivers!$B$15)^1+Drivers!$C$47*(1+Drivers!$C$48)^11*(1-Drivers!$B$15)^0)*Drivers!$B$29+(Drivers!$C$49*(1+Drivers!$C$50)^0*(1-Drivers!$B$14)^11+Drivers!$C$49*(1+Drivers!$C$50)^1*(1-Drivers!$B$14)^10+Drivers!$C$49*(1+Drivers!$C$50)^2*(1-Drivers!$B$14)^9+Drivers!$C$49*(1+Drivers!$C$50)^3*(1-Drivers!$B$14)^8+Drivers!$C$49*(1+Drivers!$C$50)^4*(1-Drivers!$B$14)^7+Drivers!$C$49*(1+Drivers!$C$50)^5*(1-Drivers!$B$14)^6+Drivers!$C$49*(1+Drivers!$C$50)^6*(1-Drivers!$B$14)^5+Drivers!$C$49*(1+Drivers!$C$50)^7*(1-Drivers!$B$14)^4+Drivers!$C$49*(1+Drivers!$C$50)^8*(1-Drivers!$B$14)^3+Drivers!$C$49*(1+Drivers!$C$50)^9*(1-Drivers!$B$14)^2+Drivers!$C$49*(1+Drivers!$C$50)^10*(1-Drivers!$B$14)^1+Drivers!$C$49*(1+Drivers!$C$50)^11*(1-Drivers!$B$14)^0)*Drivers!$B$28)</f>
        <v/>
      </c>
      <c r="D6" s="20">
        <f>12*((Drivers!$D$47*(1+Drivers!$D$48)^0*(1-Drivers!$B$15)^11+Drivers!$D$47*(1+Drivers!$D$48)^1*(1-Drivers!$B$15)^10+Drivers!$D$47*(1+Drivers!$D$48)^2*(1-Drivers!$B$15)^9+Drivers!$D$47*(1+Drivers!$D$48)^3*(1-Drivers!$B$15)^8+Drivers!$D$47*(1+Drivers!$D$48)^4*(1-Drivers!$B$15)^7+Drivers!$D$47*(1+Drivers!$D$48)^5*(1-Drivers!$B$15)^6+Drivers!$D$47*(1+Drivers!$D$48)^6*(1-Drivers!$B$15)^5+Drivers!$D$47*(1+Drivers!$D$48)^7*(1-Drivers!$B$15)^4+Drivers!$D$47*(1+Drivers!$D$48)^8*(1-Drivers!$B$15)^3+Drivers!$D$47*(1+Drivers!$D$48)^9*(1-Drivers!$B$15)^2+Drivers!$D$47*(1+Drivers!$D$48)^10*(1-Drivers!$B$15)^1+Drivers!$D$47*(1+Drivers!$D$48)^11*(1-Drivers!$B$15)^0)*Drivers!$B$29+(Drivers!$D$49*(1+Drivers!$D$50)^0*(1-Drivers!$B$14)^11+Drivers!$D$49*(1+Drivers!$D$50)^1*(1-Drivers!$B$14)^10+Drivers!$D$49*(1+Drivers!$D$50)^2*(1-Drivers!$B$14)^9+Drivers!$D$49*(1+Drivers!$D$50)^3*(1-Drivers!$B$14)^8+Drivers!$D$49*(1+Drivers!$D$50)^4*(1-Drivers!$B$14)^7+Drivers!$D$49*(1+Drivers!$D$50)^5*(1-Drivers!$B$14)^6+Drivers!$D$49*(1+Drivers!$D$50)^6*(1-Drivers!$B$14)^5+Drivers!$D$49*(1+Drivers!$D$50)^7*(1-Drivers!$B$14)^4+Drivers!$D$49*(1+Drivers!$D$50)^8*(1-Drivers!$B$14)^3+Drivers!$D$49*(1+Drivers!$D$50)^9*(1-Drivers!$B$14)^2+Drivers!$D$49*(1+Drivers!$D$50)^10*(1-Drivers!$B$14)^1+Drivers!$D$49*(1+Drivers!$D$50)^11*(1-Drivers!$B$14)^0)*Drivers!$B$28)</f>
        <v/>
      </c>
      <c r="E6" s="12">
        <f>Projection!$M$10*12</f>
        <v/>
      </c>
    </row>
    <row r="8">
      <c r="A8" s="27" t="inlineStr">
        <is>
          <t>Active scenario:</t>
        </is>
      </c>
      <c r="B8" s="26">
        <f>CHOOSE(Drivers!$B$43,"Conservative","Base","Aggressive")</f>
        <v/>
      </c>
    </row>
    <row r="9">
      <c r="A9" s="2" t="inlineStr">
        <is>
          <t>Note: ACTIVE column = live Projection tab; toggle Drivers!B43 (1/2/3).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</cols>
  <sheetData>
    <row r="1" ht="24" customHeight="1">
      <c r="A1" s="1" t="inlineStr">
        <is>
          <t>KLARAVEX - Sensitivity: Breakeven Month &amp; M12 ARR vs Deflection x Churn</t>
        </is>
      </c>
    </row>
    <row r="3">
      <c r="A3" s="27" t="inlineStr">
        <is>
          <t>TABLE 1 - M12 ARR run-rate ($)</t>
        </is>
      </c>
    </row>
    <row r="4">
      <c r="A4" s="15" t="inlineStr">
        <is>
          <t>Deflect \ Churn</t>
        </is>
      </c>
      <c r="B4" s="28" t="n">
        <v>0.03</v>
      </c>
      <c r="C4" s="28" t="n">
        <v>0.04</v>
      </c>
      <c r="D4" s="28" t="n">
        <v>0.05</v>
      </c>
      <c r="E4" s="28" t="n">
        <v>0.06</v>
      </c>
      <c r="F4" s="28" t="n">
        <v>0.07000000000000001</v>
      </c>
      <c r="G4" s="28" t="n">
        <v>0.08</v>
      </c>
      <c r="H4" s="28" t="n">
        <v>0.09</v>
      </c>
    </row>
    <row r="5">
      <c r="A5" s="29" t="n">
        <v>0.55</v>
      </c>
      <c r="B5" s="20">
        <f>12*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C5" s="20">
        <f>12*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D5" s="20">
        <f>12*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E5" s="20">
        <f>12*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F5" s="20">
        <f>12*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G5" s="20">
        <f>12*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H5" s="20">
        <f>12*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</row>
    <row r="6">
      <c r="A6" s="29" t="n">
        <v>0.6</v>
      </c>
      <c r="B6" s="20">
        <f>12*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C6" s="20">
        <f>12*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D6" s="20">
        <f>12*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E6" s="20">
        <f>12*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F6" s="20">
        <f>12*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G6" s="20">
        <f>12*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H6" s="20">
        <f>12*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</row>
    <row r="7">
      <c r="A7" s="29" t="n">
        <v>0.65</v>
      </c>
      <c r="B7" s="20">
        <f>12*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C7" s="20">
        <f>12*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D7" s="20">
        <f>12*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E7" s="20">
        <f>12*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F7" s="20">
        <f>12*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G7" s="20">
        <f>12*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H7" s="20">
        <f>12*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</row>
    <row r="8">
      <c r="A8" s="29" t="n">
        <v>0.7</v>
      </c>
      <c r="B8" s="20">
        <f>12*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C8" s="20">
        <f>12*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D8" s="20">
        <f>12*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E8" s="20">
        <f>12*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F8" s="20">
        <f>12*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G8" s="20">
        <f>12*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H8" s="20">
        <f>12*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</row>
    <row r="9">
      <c r="A9" s="29" t="n">
        <v>0.75</v>
      </c>
      <c r="B9" s="20">
        <f>12*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C9" s="20">
        <f>12*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D9" s="20">
        <f>12*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E9" s="20">
        <f>12*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F9" s="20">
        <f>12*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G9" s="20">
        <f>12*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H9" s="20">
        <f>12*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</row>
    <row r="10">
      <c r="A10" s="29" t="n">
        <v>0.8</v>
      </c>
      <c r="B10" s="20">
        <f>12*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C10" s="20">
        <f>12*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D10" s="20">
        <f>12*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E10" s="20">
        <f>12*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F10" s="20">
        <f>12*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G10" s="20">
        <f>12*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H10" s="20">
        <f>12*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</row>
    <row r="11">
      <c r="A11" s="29" t="n">
        <v>0.85</v>
      </c>
      <c r="B11" s="20">
        <f>12*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C11" s="20">
        <f>12*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D11" s="20">
        <f>12*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E11" s="20">
        <f>12*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F11" s="20">
        <f>12*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G11" s="20">
        <f>12*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  <c r="H11" s="20">
        <f>12*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$28)</f>
        <v/>
      </c>
    </row>
    <row r="13">
      <c r="A13" s="2" t="inlineStr">
        <is>
          <t>HELPER: cumulative cash by month (cols = M1..M12), one block per churn col</t>
        </is>
      </c>
      <c r="D13" s="30" t="inlineStr">
        <is>
          <t>churn=0.03</t>
        </is>
      </c>
      <c r="Q13" s="30" t="inlineStr">
        <is>
          <t>churn=0.04</t>
        </is>
      </c>
      <c r="AD13" s="30" t="inlineStr">
        <is>
          <t>churn=0.05</t>
        </is>
      </c>
      <c r="AQ13" s="30" t="inlineStr">
        <is>
          <t>churn=0.06</t>
        </is>
      </c>
      <c r="BD13" s="30" t="inlineStr">
        <is>
          <t>churn=0.07</t>
        </is>
      </c>
      <c r="BQ13" s="30" t="inlineStr">
        <is>
          <t>churn=0.08</t>
        </is>
      </c>
      <c r="CD13" s="30" t="inlineStr">
        <is>
          <t>churn=0.09</t>
        </is>
      </c>
    </row>
    <row r="14">
      <c r="D14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$5*Drivers!$B$6+(1-$A$5)*Drivers!$B$9*Drivers!$B$10)*Drivers!$B$37)+(Drivers!$E$49*(1+Drivers!$E$50)^0*(1-Drivers!$B$14)^0)*(($A$5*Drivers!$B$5+(1-$A$5)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E14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$5*Drivers!$B$6+(1-$A$5)*Drivers!$B$9*Drivers!$B$10)*Drivers!$B$37)+(Drivers!$E$49*(1+Drivers!$E$50)^0*(1-Drivers!$B$14)^0)*(($A$5*Drivers!$B$5+(1-$A$5)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F14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$5*Drivers!$B$6+(1-$A$5)*Drivers!$B$9*Drivers!$B$10)*Drivers!$B$37)+(Drivers!$E$49*(1+Drivers!$E$50)^0*(1-Drivers!$B$14)^0)*(($A$5*Drivers!$B$5+(1-$A$5)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G14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$5*Drivers!$B$6+(1-$A$5)*Drivers!$B$9*Drivers!$B$10)*Drivers!$B$37)+(Drivers!$E$49*(1+Drivers!$E$50)^0*(1-Drivers!$B$14)^0)*(($A$5*Drivers!$B$5+(1-$A$5)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H14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$5*Drivers!$B$6+(1-$A$5)*Drivers!$B$9*Drivers!$B$10)*Drivers!$B$37)+(Drivers!$E$49*(1+Drivers!$E$50)^0*(1-Drivers!$B$14)^0)*(($A$5*Drivers!$B$5+(1-$A$5)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I14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$5*Drivers!$B$6+(1-$A$5)*Drivers!$B$9*Drivers!$B$10)*Drivers!$B$37)+(Drivers!$E$49*(1+Drivers!$E$50)^0*(1-Drivers!$B$14)^0)*(($A$5*Drivers!$B$5+(1-$A$5)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J14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$5*Drivers!$B$6+(1-$A$5)*Drivers!$B$9*Drivers!$B$10)*Drivers!$B$37)+(Drivers!$E$49*(1+Drivers!$E$50)^0*(1-Drivers!$B$14)^0)*(($A$5*Drivers!$B$5+(1-$A$5)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K14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$5*Drivers!$B$6+(1-$A$5)*Drivers!$B$9*Drivers!$B$10)*Drivers!$B$37)+(Drivers!$E$49*(1+Drivers!$E$50)^0*(1-Drivers!$B$14)^0)*(($A$5*Drivers!$B$5+(1-$A$5)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L14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$5*Drivers!$B$6+(1-$A$5)*Drivers!$B$9*Drivers!$B$10)*Drivers!$B$37)+(Drivers!$E$49*(1+Drivers!$E$50)^0*(1-Drivers!$B$14)^0)*(($A$5*Drivers!$B$5+(1-$A$5)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M14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$5*Drivers!$B$6+(1-$A$5)*Drivers!$B$9*Drivers!$B$10)*Drivers!$B$37)+(Drivers!$E$49*(1+Drivers!$E$50)^0*(1-Drivers!$B$14)^0)*(($A$5*Drivers!$B$5+(1-$A$5)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N14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$5*Drivers!$B$6+(1-$A$5)*Drivers!$B$9*Drivers!$B$10)*Drivers!$B$37)+(Drivers!$E$49*(1+Drivers!$E$50)^0*(1-Drivers!$B$14)^0)*(($A$5*Drivers!$B$5+(1-$A$5)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(($A$5*Drivers!$B$6+(1-$A$5)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$5*Drivers!$B$5+(1-$A$5)*Drivers!$B$9*Drivers!$B$10)*Drivers!$B$36)+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O14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$5*Drivers!$B$6+(1-$A$5)*Drivers!$B$9*Drivers!$B$10)*Drivers!$B$37)+(Drivers!$E$49*(1+Drivers!$E$50)^0*(1-Drivers!$B$14)^0)*(($A$5*Drivers!$B$5+(1-$A$5)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(($A$5*Drivers!$B$6+(1-$A$5)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$5*Drivers!$B$5+(1-$A$5)*Drivers!$B$9*Drivers!$B$10)*Drivers!$B$36)+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(($A$5*Drivers!$B$6+(1-$A$5)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$5*Drivers!$B$5+(1-$A$5)*Drivers!$B$9*Drivers!$B$10)*Drivers!$B$36)+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Q14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$5*Drivers!$B$6+(1-$A$5)*Drivers!$B$9*Drivers!$B$10)*Drivers!$B$37)+(Drivers!$E$49*(1+Drivers!$E$50)^0*(1-Drivers!$B$14)^0)*(($A$5*Drivers!$B$5+(1-$A$5)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R14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$5*Drivers!$B$6+(1-$A$5)*Drivers!$B$9*Drivers!$B$10)*Drivers!$B$37)+(Drivers!$E$49*(1+Drivers!$E$50)^0*(1-Drivers!$B$14)^0)*(($A$5*Drivers!$B$5+(1-$A$5)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S14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$5*Drivers!$B$6+(1-$A$5)*Drivers!$B$9*Drivers!$B$10)*Drivers!$B$37)+(Drivers!$E$49*(1+Drivers!$E$50)^0*(1-Drivers!$B$14)^0)*(($A$5*Drivers!$B$5+(1-$A$5)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T14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$5*Drivers!$B$6+(1-$A$5)*Drivers!$B$9*Drivers!$B$10)*Drivers!$B$37)+(Drivers!$E$49*(1+Drivers!$E$50)^0*(1-Drivers!$B$14)^0)*(($A$5*Drivers!$B$5+(1-$A$5)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U14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$5*Drivers!$B$6+(1-$A$5)*Drivers!$B$9*Drivers!$B$10)*Drivers!$B$37)+(Drivers!$E$49*(1+Drivers!$E$50)^0*(1-Drivers!$B$14)^0)*(($A$5*Drivers!$B$5+(1-$A$5)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V14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$5*Drivers!$B$6+(1-$A$5)*Drivers!$B$9*Drivers!$B$10)*Drivers!$B$37)+(Drivers!$E$49*(1+Drivers!$E$50)^0*(1-Drivers!$B$14)^0)*(($A$5*Drivers!$B$5+(1-$A$5)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W14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$5*Drivers!$B$6+(1-$A$5)*Drivers!$B$9*Drivers!$B$10)*Drivers!$B$37)+(Drivers!$E$49*(1+Drivers!$E$50)^0*(1-Drivers!$B$14)^0)*(($A$5*Drivers!$B$5+(1-$A$5)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X14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$5*Drivers!$B$6+(1-$A$5)*Drivers!$B$9*Drivers!$B$10)*Drivers!$B$37)+(Drivers!$E$49*(1+Drivers!$E$50)^0*(1-Drivers!$B$14)^0)*(($A$5*Drivers!$B$5+(1-$A$5)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Y14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$5*Drivers!$B$6+(1-$A$5)*Drivers!$B$9*Drivers!$B$10)*Drivers!$B$37)+(Drivers!$E$49*(1+Drivers!$E$50)^0*(1-Drivers!$B$14)^0)*(($A$5*Drivers!$B$5+(1-$A$5)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Z14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$5*Drivers!$B$6+(1-$A$5)*Drivers!$B$9*Drivers!$B$10)*Drivers!$B$37)+(Drivers!$E$49*(1+Drivers!$E$50)^0*(1-Drivers!$B$14)^0)*(($A$5*Drivers!$B$5+(1-$A$5)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AA14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$5*Drivers!$B$6+(1-$A$5)*Drivers!$B$9*Drivers!$B$10)*Drivers!$B$37)+(Drivers!$E$49*(1+Drivers!$E$50)^0*(1-Drivers!$B$14)^0)*(($A$5*Drivers!$B$5+(1-$A$5)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(($A$5*Drivers!$B$6+(1-$A$5)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$5*Drivers!$B$5+(1-$A$5)*Drivers!$B$9*Drivers!$B$10)*Drivers!$B$36)+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AB14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$5*Drivers!$B$6+(1-$A$5)*Drivers!$B$9*Drivers!$B$10)*Drivers!$B$37)+(Drivers!$E$49*(1+Drivers!$E$50)^0*(1-Drivers!$B$14)^0)*(($A$5*Drivers!$B$5+(1-$A$5)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(($A$5*Drivers!$B$6+(1-$A$5)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$5*Drivers!$B$5+(1-$A$5)*Drivers!$B$9*Drivers!$B$10)*Drivers!$B$36)+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(($A$5*Drivers!$B$6+(1-$A$5)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$5*Drivers!$B$5+(1-$A$5)*Drivers!$B$9*Drivers!$B$10)*Drivers!$B$36)+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AD14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$5*Drivers!$B$6+(1-$A$5)*Drivers!$B$9*Drivers!$B$10)*Drivers!$B$37)+(Drivers!$E$49*(1+Drivers!$E$50)^0*(1-Drivers!$B$14)^0)*(($A$5*Drivers!$B$5+(1-$A$5)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AE14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$5*Drivers!$B$6+(1-$A$5)*Drivers!$B$9*Drivers!$B$10)*Drivers!$B$37)+(Drivers!$E$49*(1+Drivers!$E$50)^0*(1-Drivers!$B$14)^0)*(($A$5*Drivers!$B$5+(1-$A$5)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AF14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$5*Drivers!$B$6+(1-$A$5)*Drivers!$B$9*Drivers!$B$10)*Drivers!$B$37)+(Drivers!$E$49*(1+Drivers!$E$50)^0*(1-Drivers!$B$14)^0)*(($A$5*Drivers!$B$5+(1-$A$5)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AG14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$5*Drivers!$B$6+(1-$A$5)*Drivers!$B$9*Drivers!$B$10)*Drivers!$B$37)+(Drivers!$E$49*(1+Drivers!$E$50)^0*(1-Drivers!$B$14)^0)*(($A$5*Drivers!$B$5+(1-$A$5)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AH14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$5*Drivers!$B$6+(1-$A$5)*Drivers!$B$9*Drivers!$B$10)*Drivers!$B$37)+(Drivers!$E$49*(1+Drivers!$E$50)^0*(1-Drivers!$B$14)^0)*(($A$5*Drivers!$B$5+(1-$A$5)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AI14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$5*Drivers!$B$6+(1-$A$5)*Drivers!$B$9*Drivers!$B$10)*Drivers!$B$37)+(Drivers!$E$49*(1+Drivers!$E$50)^0*(1-Drivers!$B$14)^0)*(($A$5*Drivers!$B$5+(1-$A$5)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AJ14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$5*Drivers!$B$6+(1-$A$5)*Drivers!$B$9*Drivers!$B$10)*Drivers!$B$37)+(Drivers!$E$49*(1+Drivers!$E$50)^0*(1-Drivers!$B$14)^0)*(($A$5*Drivers!$B$5+(1-$A$5)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AK14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$5*Drivers!$B$6+(1-$A$5)*Drivers!$B$9*Drivers!$B$10)*Drivers!$B$37)+(Drivers!$E$49*(1+Drivers!$E$50)^0*(1-Drivers!$B$14)^0)*(($A$5*Drivers!$B$5+(1-$A$5)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AL14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$5*Drivers!$B$6+(1-$A$5)*Drivers!$B$9*Drivers!$B$10)*Drivers!$B$37)+(Drivers!$E$49*(1+Drivers!$E$50)^0*(1-Drivers!$B$14)^0)*(($A$5*Drivers!$B$5+(1-$A$5)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AM14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$5*Drivers!$B$6+(1-$A$5)*Drivers!$B$9*Drivers!$B$10)*Drivers!$B$37)+(Drivers!$E$49*(1+Drivers!$E$50)^0*(1-Drivers!$B$14)^0)*(($A$5*Drivers!$B$5+(1-$A$5)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AN14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$5*Drivers!$B$6+(1-$A$5)*Drivers!$B$9*Drivers!$B$10)*Drivers!$B$37)+(Drivers!$E$49*(1+Drivers!$E$50)^0*(1-Drivers!$B$14)^0)*(($A$5*Drivers!$B$5+(1-$A$5)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(($A$5*Drivers!$B$6+(1-$A$5)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$5*Drivers!$B$5+(1-$A$5)*Drivers!$B$9*Drivers!$B$10)*Drivers!$B$36)+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AO14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$5*Drivers!$B$6+(1-$A$5)*Drivers!$B$9*Drivers!$B$10)*Drivers!$B$37)+(Drivers!$E$49*(1+Drivers!$E$50)^0*(1-Drivers!$B$14)^0)*(($A$5*Drivers!$B$5+(1-$A$5)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(($A$5*Drivers!$B$6+(1-$A$5)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$5*Drivers!$B$5+(1-$A$5)*Drivers!$B$9*Drivers!$B$10)*Drivers!$B$36)+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(($A$5*Drivers!$B$6+(1-$A$5)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$5*Drivers!$B$5+(1-$A$5)*Drivers!$B$9*Drivers!$B$10)*Drivers!$B$36)+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AQ14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$5*Drivers!$B$6+(1-$A$5)*Drivers!$B$9*Drivers!$B$10)*Drivers!$B$37)+(Drivers!$E$49*(1+Drivers!$E$50)^0*(1-Drivers!$B$14)^0)*(($A$5*Drivers!$B$5+(1-$A$5)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AR14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$5*Drivers!$B$6+(1-$A$5)*Drivers!$B$9*Drivers!$B$10)*Drivers!$B$37)+(Drivers!$E$49*(1+Drivers!$E$50)^0*(1-Drivers!$B$14)^0)*(($A$5*Drivers!$B$5+(1-$A$5)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AS14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$5*Drivers!$B$6+(1-$A$5)*Drivers!$B$9*Drivers!$B$10)*Drivers!$B$37)+(Drivers!$E$49*(1+Drivers!$E$50)^0*(1-Drivers!$B$14)^0)*(($A$5*Drivers!$B$5+(1-$A$5)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AT14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$5*Drivers!$B$6+(1-$A$5)*Drivers!$B$9*Drivers!$B$10)*Drivers!$B$37)+(Drivers!$E$49*(1+Drivers!$E$50)^0*(1-Drivers!$B$14)^0)*(($A$5*Drivers!$B$5+(1-$A$5)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AU14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$5*Drivers!$B$6+(1-$A$5)*Drivers!$B$9*Drivers!$B$10)*Drivers!$B$37)+(Drivers!$E$49*(1+Drivers!$E$50)^0*(1-Drivers!$B$14)^0)*(($A$5*Drivers!$B$5+(1-$A$5)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AV14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$5*Drivers!$B$6+(1-$A$5)*Drivers!$B$9*Drivers!$B$10)*Drivers!$B$37)+(Drivers!$E$49*(1+Drivers!$E$50)^0*(1-Drivers!$B$14)^0)*(($A$5*Drivers!$B$5+(1-$A$5)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AW14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$5*Drivers!$B$6+(1-$A$5)*Drivers!$B$9*Drivers!$B$10)*Drivers!$B$37)+(Drivers!$E$49*(1+Drivers!$E$50)^0*(1-Drivers!$B$14)^0)*(($A$5*Drivers!$B$5+(1-$A$5)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AX14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$5*Drivers!$B$6+(1-$A$5)*Drivers!$B$9*Drivers!$B$10)*Drivers!$B$37)+(Drivers!$E$49*(1+Drivers!$E$50)^0*(1-Drivers!$B$14)^0)*(($A$5*Drivers!$B$5+(1-$A$5)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AY14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$5*Drivers!$B$6+(1-$A$5)*Drivers!$B$9*Drivers!$B$10)*Drivers!$B$37)+(Drivers!$E$49*(1+Drivers!$E$50)^0*(1-Drivers!$B$14)^0)*(($A$5*Drivers!$B$5+(1-$A$5)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AZ14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$5*Drivers!$B$6+(1-$A$5)*Drivers!$B$9*Drivers!$B$10)*Drivers!$B$37)+(Drivers!$E$49*(1+Drivers!$E$50)^0*(1-Drivers!$B$14)^0)*(($A$5*Drivers!$B$5+(1-$A$5)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BA14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$5*Drivers!$B$6+(1-$A$5)*Drivers!$B$9*Drivers!$B$10)*Drivers!$B$37)+(Drivers!$E$49*(1+Drivers!$E$50)^0*(1-Drivers!$B$14)^0)*(($A$5*Drivers!$B$5+(1-$A$5)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(($A$5*Drivers!$B$6+(1-$A$5)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$5*Drivers!$B$5+(1-$A$5)*Drivers!$B$9*Drivers!$B$10)*Drivers!$B$36)+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BB14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$5*Drivers!$B$6+(1-$A$5)*Drivers!$B$9*Drivers!$B$10)*Drivers!$B$37)+(Drivers!$E$49*(1+Drivers!$E$50)^0*(1-Drivers!$B$14)^0)*(($A$5*Drivers!$B$5+(1-$A$5)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(($A$5*Drivers!$B$6+(1-$A$5)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$5*Drivers!$B$5+(1-$A$5)*Drivers!$B$9*Drivers!$B$10)*Drivers!$B$36)+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(($A$5*Drivers!$B$6+(1-$A$5)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$5*Drivers!$B$5+(1-$A$5)*Drivers!$B$9*Drivers!$B$10)*Drivers!$B$36)+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BD14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$5*Drivers!$B$6+(1-$A$5)*Drivers!$B$9*Drivers!$B$10)*Drivers!$B$37)+(Drivers!$E$49*(1+Drivers!$E$50)^0*(1-Drivers!$B$14)^0)*(($A$5*Drivers!$B$5+(1-$A$5)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BE14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$5*Drivers!$B$6+(1-$A$5)*Drivers!$B$9*Drivers!$B$10)*Drivers!$B$37)+(Drivers!$E$49*(1+Drivers!$E$50)^0*(1-Drivers!$B$14)^0)*(($A$5*Drivers!$B$5+(1-$A$5)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BF14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$5*Drivers!$B$6+(1-$A$5)*Drivers!$B$9*Drivers!$B$10)*Drivers!$B$37)+(Drivers!$E$49*(1+Drivers!$E$50)^0*(1-Drivers!$B$14)^0)*(($A$5*Drivers!$B$5+(1-$A$5)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BG14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$5*Drivers!$B$6+(1-$A$5)*Drivers!$B$9*Drivers!$B$10)*Drivers!$B$37)+(Drivers!$E$49*(1+Drivers!$E$50)^0*(1-Drivers!$B$14)^0)*(($A$5*Drivers!$B$5+(1-$A$5)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BH14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$5*Drivers!$B$6+(1-$A$5)*Drivers!$B$9*Drivers!$B$10)*Drivers!$B$37)+(Drivers!$E$49*(1+Drivers!$E$50)^0*(1-Drivers!$B$14)^0)*(($A$5*Drivers!$B$5+(1-$A$5)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BI14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$5*Drivers!$B$6+(1-$A$5)*Drivers!$B$9*Drivers!$B$10)*Drivers!$B$37)+(Drivers!$E$49*(1+Drivers!$E$50)^0*(1-Drivers!$B$14)^0)*(($A$5*Drivers!$B$5+(1-$A$5)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BJ14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$5*Drivers!$B$6+(1-$A$5)*Drivers!$B$9*Drivers!$B$10)*Drivers!$B$37)+(Drivers!$E$49*(1+Drivers!$E$50)^0*(1-Drivers!$B$14)^0)*(($A$5*Drivers!$B$5+(1-$A$5)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BK14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$5*Drivers!$B$6+(1-$A$5)*Drivers!$B$9*Drivers!$B$10)*Drivers!$B$37)+(Drivers!$E$49*(1+Drivers!$E$50)^0*(1-Drivers!$B$14)^0)*(($A$5*Drivers!$B$5+(1-$A$5)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BL14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$5*Drivers!$B$6+(1-$A$5)*Drivers!$B$9*Drivers!$B$10)*Drivers!$B$37)+(Drivers!$E$49*(1+Drivers!$E$50)^0*(1-Drivers!$B$14)^0)*(($A$5*Drivers!$B$5+(1-$A$5)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BM14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$5*Drivers!$B$6+(1-$A$5)*Drivers!$B$9*Drivers!$B$10)*Drivers!$B$37)+(Drivers!$E$49*(1+Drivers!$E$50)^0*(1-Drivers!$B$14)^0)*(($A$5*Drivers!$B$5+(1-$A$5)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BN14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$5*Drivers!$B$6+(1-$A$5)*Drivers!$B$9*Drivers!$B$10)*Drivers!$B$37)+(Drivers!$E$49*(1+Drivers!$E$50)^0*(1-Drivers!$B$14)^0)*(($A$5*Drivers!$B$5+(1-$A$5)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(($A$5*Drivers!$B$6+(1-$A$5)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$5*Drivers!$B$5+(1-$A$5)*Drivers!$B$9*Drivers!$B$10)*Drivers!$B$36)+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BO14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$5*Drivers!$B$6+(1-$A$5)*Drivers!$B$9*Drivers!$B$10)*Drivers!$B$37)+(Drivers!$E$49*(1+Drivers!$E$50)^0*(1-Drivers!$B$14)^0)*(($A$5*Drivers!$B$5+(1-$A$5)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(($A$5*Drivers!$B$6+(1-$A$5)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$5*Drivers!$B$5+(1-$A$5)*Drivers!$B$9*Drivers!$B$10)*Drivers!$B$36)+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(($A$5*Drivers!$B$6+(1-$A$5)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$5*Drivers!$B$5+(1-$A$5)*Drivers!$B$9*Drivers!$B$10)*Drivers!$B$36)+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BQ14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$5*Drivers!$B$6+(1-$A$5)*Drivers!$B$9*Drivers!$B$10)*Drivers!$B$37)+(Drivers!$E$49*(1+Drivers!$E$50)^0*(1-Drivers!$B$14)^0)*(($A$5*Drivers!$B$5+(1-$A$5)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BR14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$5*Drivers!$B$6+(1-$A$5)*Drivers!$B$9*Drivers!$B$10)*Drivers!$B$37)+(Drivers!$E$49*(1+Drivers!$E$50)^0*(1-Drivers!$B$14)^0)*(($A$5*Drivers!$B$5+(1-$A$5)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BS14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$5*Drivers!$B$6+(1-$A$5)*Drivers!$B$9*Drivers!$B$10)*Drivers!$B$37)+(Drivers!$E$49*(1+Drivers!$E$50)^0*(1-Drivers!$B$14)^0)*(($A$5*Drivers!$B$5+(1-$A$5)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BT14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$5*Drivers!$B$6+(1-$A$5)*Drivers!$B$9*Drivers!$B$10)*Drivers!$B$37)+(Drivers!$E$49*(1+Drivers!$E$50)^0*(1-Drivers!$B$14)^0)*(($A$5*Drivers!$B$5+(1-$A$5)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BU14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$5*Drivers!$B$6+(1-$A$5)*Drivers!$B$9*Drivers!$B$10)*Drivers!$B$37)+(Drivers!$E$49*(1+Drivers!$E$50)^0*(1-Drivers!$B$14)^0)*(($A$5*Drivers!$B$5+(1-$A$5)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BV14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$5*Drivers!$B$6+(1-$A$5)*Drivers!$B$9*Drivers!$B$10)*Drivers!$B$37)+(Drivers!$E$49*(1+Drivers!$E$50)^0*(1-Drivers!$B$14)^0)*(($A$5*Drivers!$B$5+(1-$A$5)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BW14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$5*Drivers!$B$6+(1-$A$5)*Drivers!$B$9*Drivers!$B$10)*Drivers!$B$37)+(Drivers!$E$49*(1+Drivers!$E$50)^0*(1-Drivers!$B$14)^0)*(($A$5*Drivers!$B$5+(1-$A$5)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BX14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$5*Drivers!$B$6+(1-$A$5)*Drivers!$B$9*Drivers!$B$10)*Drivers!$B$37)+(Drivers!$E$49*(1+Drivers!$E$50)^0*(1-Drivers!$B$14)^0)*(($A$5*Drivers!$B$5+(1-$A$5)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BY14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$5*Drivers!$B$6+(1-$A$5)*Drivers!$B$9*Drivers!$B$10)*Drivers!$B$37)+(Drivers!$E$49*(1+Drivers!$E$50)^0*(1-Drivers!$B$14)^0)*(($A$5*Drivers!$B$5+(1-$A$5)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BZ14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$5*Drivers!$B$6+(1-$A$5)*Drivers!$B$9*Drivers!$B$10)*Drivers!$B$37)+(Drivers!$E$49*(1+Drivers!$E$50)^0*(1-Drivers!$B$14)^0)*(($A$5*Drivers!$B$5+(1-$A$5)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CA14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$5*Drivers!$B$6+(1-$A$5)*Drivers!$B$9*Drivers!$B$10)*Drivers!$B$37)+(Drivers!$E$49*(1+Drivers!$E$50)^0*(1-Drivers!$B$14)^0)*(($A$5*Drivers!$B$5+(1-$A$5)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(($A$5*Drivers!$B$6+(1-$A$5)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$5*Drivers!$B$5+(1-$A$5)*Drivers!$B$9*Drivers!$B$10)*Drivers!$B$36)+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CB14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$5*Drivers!$B$6+(1-$A$5)*Drivers!$B$9*Drivers!$B$10)*Drivers!$B$37)+(Drivers!$E$49*(1+Drivers!$E$50)^0*(1-Drivers!$B$14)^0)*(($A$5*Drivers!$B$5+(1-$A$5)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(($A$5*Drivers!$B$6+(1-$A$5)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$5*Drivers!$B$5+(1-$A$5)*Drivers!$B$9*Drivers!$B$10)*Drivers!$B$36)+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(($A$5*Drivers!$B$6+(1-$A$5)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$5*Drivers!$B$5+(1-$A$5)*Drivers!$B$9*Drivers!$B$10)*Drivers!$B$36)+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CD14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$5*Drivers!$B$6+(1-$A$5)*Drivers!$B$9*Drivers!$B$10)*Drivers!$B$37)+(Drivers!$E$49*(1+Drivers!$E$50)^0*(1-Drivers!$B$14)^0)*(($A$5*Drivers!$B$5+(1-$A$5)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CE14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$5*Drivers!$B$6+(1-$A$5)*Drivers!$B$9*Drivers!$B$10)*Drivers!$B$37)+(Drivers!$E$49*(1+Drivers!$E$50)^0*(1-Drivers!$B$14)^0)*(($A$5*Drivers!$B$5+(1-$A$5)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CF14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$5*Drivers!$B$6+(1-$A$5)*Drivers!$B$9*Drivers!$B$10)*Drivers!$B$37)+(Drivers!$E$49*(1+Drivers!$E$50)^0*(1-Drivers!$B$14)^0)*(($A$5*Drivers!$B$5+(1-$A$5)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CG14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$5*Drivers!$B$6+(1-$A$5)*Drivers!$B$9*Drivers!$B$10)*Drivers!$B$37)+(Drivers!$E$49*(1+Drivers!$E$50)^0*(1-Drivers!$B$14)^0)*(($A$5*Drivers!$B$5+(1-$A$5)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CH14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$5*Drivers!$B$6+(1-$A$5)*Drivers!$B$9*Drivers!$B$10)*Drivers!$B$37)+(Drivers!$E$49*(1+Drivers!$E$50)^0*(1-Drivers!$B$14)^0)*(($A$5*Drivers!$B$5+(1-$A$5)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CI14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$5*Drivers!$B$6+(1-$A$5)*Drivers!$B$9*Drivers!$B$10)*Drivers!$B$37)+(Drivers!$E$49*(1+Drivers!$E$50)^0*(1-Drivers!$B$14)^0)*(($A$5*Drivers!$B$5+(1-$A$5)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CJ14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$5*Drivers!$B$6+(1-$A$5)*Drivers!$B$9*Drivers!$B$10)*Drivers!$B$37)+(Drivers!$E$49*(1+Drivers!$E$50)^0*(1-Drivers!$B$14)^0)*(($A$5*Drivers!$B$5+(1-$A$5)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CK14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$5*Drivers!$B$6+(1-$A$5)*Drivers!$B$9*Drivers!$B$10)*Drivers!$B$37)+(Drivers!$E$49*(1+Drivers!$E$50)^0*(1-Drivers!$B$14)^0)*(($A$5*Drivers!$B$5+(1-$A$5)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CL14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$5*Drivers!$B$6+(1-$A$5)*Drivers!$B$9*Drivers!$B$10)*Drivers!$B$37)+(Drivers!$E$49*(1+Drivers!$E$50)^0*(1-Drivers!$B$14)^0)*(($A$5*Drivers!$B$5+(1-$A$5)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CM14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$5*Drivers!$B$6+(1-$A$5)*Drivers!$B$9*Drivers!$B$10)*Drivers!$B$37)+(Drivers!$E$49*(1+Drivers!$E$50)^0*(1-Drivers!$B$14)^0)*(($A$5*Drivers!$B$5+(1-$A$5)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CN14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$5*Drivers!$B$6+(1-$A$5)*Drivers!$B$9*Drivers!$B$10)*Drivers!$B$37)+(Drivers!$E$49*(1+Drivers!$E$50)^0*(1-Drivers!$B$14)^0)*(($A$5*Drivers!$B$5+(1-$A$5)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(($A$5*Drivers!$B$6+(1-$A$5)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$5*Drivers!$B$5+(1-$A$5)*Drivers!$B$9*Drivers!$B$10)*Drivers!$B$36)+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CO14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$5*Drivers!$B$6+(1-$A$5)*Drivers!$B$9*Drivers!$B$10)*Drivers!$B$37)+(Drivers!$E$49*(1+Drivers!$E$50)^0*(1-Drivers!$B$14)^0)*(($A$5*Drivers!$B$5+(1-$A$5)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$5*Drivers!$B$6+(1-$A$5)*Drivers!$B$9*Drivers!$B$10)*Drivers!$B$37)+(Drivers!$E$49*(1+Drivers!$E$50)^0*(1-Drivers!$B$14)^1+Drivers!$E$49*(1+Drivers!$E$50)^1*(1-Drivers!$B$14)^0)*(($A$5*Drivers!$B$5+(1-$A$5)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$5*Drivers!$B$6+(1-$A$5)*Drivers!$B$9*Drivers!$B$10)*Drivers!$B$37)+(Drivers!$E$49*(1+Drivers!$E$50)^0*(1-Drivers!$B$14)^2+Drivers!$E$49*(1+Drivers!$E$50)^1*(1-Drivers!$B$14)^1+Drivers!$E$49*(1+Drivers!$E$50)^2*(1-Drivers!$B$14)^0)*(($A$5*Drivers!$B$5+(1-$A$5)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$5*Drivers!$B$6+(1-$A$5)*Drivers!$B$9*Drivers!$B$10)*Drivers!$B$37)+(Drivers!$E$49*(1+Drivers!$E$50)^0*(1-Drivers!$B$14)^3+Drivers!$E$49*(1+Drivers!$E$50)^1*(1-Drivers!$B$14)^2+Drivers!$E$49*(1+Drivers!$E$50)^2*(1-Drivers!$B$14)^1+Drivers!$E$49*(1+Drivers!$E$50)^3*(1-Drivers!$B$14)^0)*(($A$5*Drivers!$B$5+(1-$A$5)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$5*Drivers!$B$6+(1-$A$5)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$5*Drivers!$B$5+(1-$A$5)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$5*Drivers!$B$6+(1-$A$5)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$5*Drivers!$B$5+(1-$A$5)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$5*Drivers!$B$6+(1-$A$5)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$5*Drivers!$B$5+(1-$A$5)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$5*Drivers!$B$6+(1-$A$5)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$5*Drivers!$B$5+(1-$A$5)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$5*Drivers!$B$6+(1-$A$5)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$5*Drivers!$B$5+(1-$A$5)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$5*Drivers!$B$6+(1-$A$5)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$5*Drivers!$B$5+(1-$A$5)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(($A$5*Drivers!$B$6+(1-$A$5)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$5*Drivers!$B$5+(1-$A$5)*Drivers!$B$9*Drivers!$B$10)*Drivers!$B$36)+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(($A$5*Drivers!$B$6+(1-$A$5)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$5*Drivers!$B$5+(1-$A$5)*Drivers!$B$9*Drivers!$B$10)*Drivers!$B$36)+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</row>
    <row r="15">
      <c r="D15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$6*Drivers!$B$6+(1-$A$6)*Drivers!$B$9*Drivers!$B$10)*Drivers!$B$37)+(Drivers!$E$49*(1+Drivers!$E$50)^0*(1-Drivers!$B$14)^0)*(($A$6*Drivers!$B$5+(1-$A$6)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E15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$6*Drivers!$B$6+(1-$A$6)*Drivers!$B$9*Drivers!$B$10)*Drivers!$B$37)+(Drivers!$E$49*(1+Drivers!$E$50)^0*(1-Drivers!$B$14)^0)*(($A$6*Drivers!$B$5+(1-$A$6)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F15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$6*Drivers!$B$6+(1-$A$6)*Drivers!$B$9*Drivers!$B$10)*Drivers!$B$37)+(Drivers!$E$49*(1+Drivers!$E$50)^0*(1-Drivers!$B$14)^0)*(($A$6*Drivers!$B$5+(1-$A$6)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G15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$6*Drivers!$B$6+(1-$A$6)*Drivers!$B$9*Drivers!$B$10)*Drivers!$B$37)+(Drivers!$E$49*(1+Drivers!$E$50)^0*(1-Drivers!$B$14)^0)*(($A$6*Drivers!$B$5+(1-$A$6)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H15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$6*Drivers!$B$6+(1-$A$6)*Drivers!$B$9*Drivers!$B$10)*Drivers!$B$37)+(Drivers!$E$49*(1+Drivers!$E$50)^0*(1-Drivers!$B$14)^0)*(($A$6*Drivers!$B$5+(1-$A$6)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I15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$6*Drivers!$B$6+(1-$A$6)*Drivers!$B$9*Drivers!$B$10)*Drivers!$B$37)+(Drivers!$E$49*(1+Drivers!$E$50)^0*(1-Drivers!$B$14)^0)*(($A$6*Drivers!$B$5+(1-$A$6)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J15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$6*Drivers!$B$6+(1-$A$6)*Drivers!$B$9*Drivers!$B$10)*Drivers!$B$37)+(Drivers!$E$49*(1+Drivers!$E$50)^0*(1-Drivers!$B$14)^0)*(($A$6*Drivers!$B$5+(1-$A$6)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K15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$6*Drivers!$B$6+(1-$A$6)*Drivers!$B$9*Drivers!$B$10)*Drivers!$B$37)+(Drivers!$E$49*(1+Drivers!$E$50)^0*(1-Drivers!$B$14)^0)*(($A$6*Drivers!$B$5+(1-$A$6)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L15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$6*Drivers!$B$6+(1-$A$6)*Drivers!$B$9*Drivers!$B$10)*Drivers!$B$37)+(Drivers!$E$49*(1+Drivers!$E$50)^0*(1-Drivers!$B$14)^0)*(($A$6*Drivers!$B$5+(1-$A$6)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M15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$6*Drivers!$B$6+(1-$A$6)*Drivers!$B$9*Drivers!$B$10)*Drivers!$B$37)+(Drivers!$E$49*(1+Drivers!$E$50)^0*(1-Drivers!$B$14)^0)*(($A$6*Drivers!$B$5+(1-$A$6)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N15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$6*Drivers!$B$6+(1-$A$6)*Drivers!$B$9*Drivers!$B$10)*Drivers!$B$37)+(Drivers!$E$49*(1+Drivers!$E$50)^0*(1-Drivers!$B$14)^0)*(($A$6*Drivers!$B$5+(1-$A$6)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(($A$6*Drivers!$B$6+(1-$A$6)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$6*Drivers!$B$5+(1-$A$6)*Drivers!$B$9*Drivers!$B$10)*Drivers!$B$36)+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O15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$6*Drivers!$B$6+(1-$A$6)*Drivers!$B$9*Drivers!$B$10)*Drivers!$B$37)+(Drivers!$E$49*(1+Drivers!$E$50)^0*(1-Drivers!$B$14)^0)*(($A$6*Drivers!$B$5+(1-$A$6)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(($A$6*Drivers!$B$6+(1-$A$6)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$6*Drivers!$B$5+(1-$A$6)*Drivers!$B$9*Drivers!$B$10)*Drivers!$B$36)+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(($A$6*Drivers!$B$6+(1-$A$6)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$6*Drivers!$B$5+(1-$A$6)*Drivers!$B$9*Drivers!$B$10)*Drivers!$B$36)+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Q15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$6*Drivers!$B$6+(1-$A$6)*Drivers!$B$9*Drivers!$B$10)*Drivers!$B$37)+(Drivers!$E$49*(1+Drivers!$E$50)^0*(1-Drivers!$B$14)^0)*(($A$6*Drivers!$B$5+(1-$A$6)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R15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$6*Drivers!$B$6+(1-$A$6)*Drivers!$B$9*Drivers!$B$10)*Drivers!$B$37)+(Drivers!$E$49*(1+Drivers!$E$50)^0*(1-Drivers!$B$14)^0)*(($A$6*Drivers!$B$5+(1-$A$6)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S15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$6*Drivers!$B$6+(1-$A$6)*Drivers!$B$9*Drivers!$B$10)*Drivers!$B$37)+(Drivers!$E$49*(1+Drivers!$E$50)^0*(1-Drivers!$B$14)^0)*(($A$6*Drivers!$B$5+(1-$A$6)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T15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$6*Drivers!$B$6+(1-$A$6)*Drivers!$B$9*Drivers!$B$10)*Drivers!$B$37)+(Drivers!$E$49*(1+Drivers!$E$50)^0*(1-Drivers!$B$14)^0)*(($A$6*Drivers!$B$5+(1-$A$6)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U15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$6*Drivers!$B$6+(1-$A$6)*Drivers!$B$9*Drivers!$B$10)*Drivers!$B$37)+(Drivers!$E$49*(1+Drivers!$E$50)^0*(1-Drivers!$B$14)^0)*(($A$6*Drivers!$B$5+(1-$A$6)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V15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$6*Drivers!$B$6+(1-$A$6)*Drivers!$B$9*Drivers!$B$10)*Drivers!$B$37)+(Drivers!$E$49*(1+Drivers!$E$50)^0*(1-Drivers!$B$14)^0)*(($A$6*Drivers!$B$5+(1-$A$6)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W15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$6*Drivers!$B$6+(1-$A$6)*Drivers!$B$9*Drivers!$B$10)*Drivers!$B$37)+(Drivers!$E$49*(1+Drivers!$E$50)^0*(1-Drivers!$B$14)^0)*(($A$6*Drivers!$B$5+(1-$A$6)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X15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$6*Drivers!$B$6+(1-$A$6)*Drivers!$B$9*Drivers!$B$10)*Drivers!$B$37)+(Drivers!$E$49*(1+Drivers!$E$50)^0*(1-Drivers!$B$14)^0)*(($A$6*Drivers!$B$5+(1-$A$6)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Y15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$6*Drivers!$B$6+(1-$A$6)*Drivers!$B$9*Drivers!$B$10)*Drivers!$B$37)+(Drivers!$E$49*(1+Drivers!$E$50)^0*(1-Drivers!$B$14)^0)*(($A$6*Drivers!$B$5+(1-$A$6)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Z15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$6*Drivers!$B$6+(1-$A$6)*Drivers!$B$9*Drivers!$B$10)*Drivers!$B$37)+(Drivers!$E$49*(1+Drivers!$E$50)^0*(1-Drivers!$B$14)^0)*(($A$6*Drivers!$B$5+(1-$A$6)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AA15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$6*Drivers!$B$6+(1-$A$6)*Drivers!$B$9*Drivers!$B$10)*Drivers!$B$37)+(Drivers!$E$49*(1+Drivers!$E$50)^0*(1-Drivers!$B$14)^0)*(($A$6*Drivers!$B$5+(1-$A$6)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(($A$6*Drivers!$B$6+(1-$A$6)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$6*Drivers!$B$5+(1-$A$6)*Drivers!$B$9*Drivers!$B$10)*Drivers!$B$36)+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AB15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$6*Drivers!$B$6+(1-$A$6)*Drivers!$B$9*Drivers!$B$10)*Drivers!$B$37)+(Drivers!$E$49*(1+Drivers!$E$50)^0*(1-Drivers!$B$14)^0)*(($A$6*Drivers!$B$5+(1-$A$6)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(($A$6*Drivers!$B$6+(1-$A$6)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$6*Drivers!$B$5+(1-$A$6)*Drivers!$B$9*Drivers!$B$10)*Drivers!$B$36)+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(($A$6*Drivers!$B$6+(1-$A$6)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$6*Drivers!$B$5+(1-$A$6)*Drivers!$B$9*Drivers!$B$10)*Drivers!$B$36)+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AD15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$6*Drivers!$B$6+(1-$A$6)*Drivers!$B$9*Drivers!$B$10)*Drivers!$B$37)+(Drivers!$E$49*(1+Drivers!$E$50)^0*(1-Drivers!$B$14)^0)*(($A$6*Drivers!$B$5+(1-$A$6)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AE15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$6*Drivers!$B$6+(1-$A$6)*Drivers!$B$9*Drivers!$B$10)*Drivers!$B$37)+(Drivers!$E$49*(1+Drivers!$E$50)^0*(1-Drivers!$B$14)^0)*(($A$6*Drivers!$B$5+(1-$A$6)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AF15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$6*Drivers!$B$6+(1-$A$6)*Drivers!$B$9*Drivers!$B$10)*Drivers!$B$37)+(Drivers!$E$49*(1+Drivers!$E$50)^0*(1-Drivers!$B$14)^0)*(($A$6*Drivers!$B$5+(1-$A$6)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AG15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$6*Drivers!$B$6+(1-$A$6)*Drivers!$B$9*Drivers!$B$10)*Drivers!$B$37)+(Drivers!$E$49*(1+Drivers!$E$50)^0*(1-Drivers!$B$14)^0)*(($A$6*Drivers!$B$5+(1-$A$6)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AH15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$6*Drivers!$B$6+(1-$A$6)*Drivers!$B$9*Drivers!$B$10)*Drivers!$B$37)+(Drivers!$E$49*(1+Drivers!$E$50)^0*(1-Drivers!$B$14)^0)*(($A$6*Drivers!$B$5+(1-$A$6)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AI15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$6*Drivers!$B$6+(1-$A$6)*Drivers!$B$9*Drivers!$B$10)*Drivers!$B$37)+(Drivers!$E$49*(1+Drivers!$E$50)^0*(1-Drivers!$B$14)^0)*(($A$6*Drivers!$B$5+(1-$A$6)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AJ15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$6*Drivers!$B$6+(1-$A$6)*Drivers!$B$9*Drivers!$B$10)*Drivers!$B$37)+(Drivers!$E$49*(1+Drivers!$E$50)^0*(1-Drivers!$B$14)^0)*(($A$6*Drivers!$B$5+(1-$A$6)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AK15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$6*Drivers!$B$6+(1-$A$6)*Drivers!$B$9*Drivers!$B$10)*Drivers!$B$37)+(Drivers!$E$49*(1+Drivers!$E$50)^0*(1-Drivers!$B$14)^0)*(($A$6*Drivers!$B$5+(1-$A$6)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AL15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$6*Drivers!$B$6+(1-$A$6)*Drivers!$B$9*Drivers!$B$10)*Drivers!$B$37)+(Drivers!$E$49*(1+Drivers!$E$50)^0*(1-Drivers!$B$14)^0)*(($A$6*Drivers!$B$5+(1-$A$6)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AM15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$6*Drivers!$B$6+(1-$A$6)*Drivers!$B$9*Drivers!$B$10)*Drivers!$B$37)+(Drivers!$E$49*(1+Drivers!$E$50)^0*(1-Drivers!$B$14)^0)*(($A$6*Drivers!$B$5+(1-$A$6)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AN15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$6*Drivers!$B$6+(1-$A$6)*Drivers!$B$9*Drivers!$B$10)*Drivers!$B$37)+(Drivers!$E$49*(1+Drivers!$E$50)^0*(1-Drivers!$B$14)^0)*(($A$6*Drivers!$B$5+(1-$A$6)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(($A$6*Drivers!$B$6+(1-$A$6)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$6*Drivers!$B$5+(1-$A$6)*Drivers!$B$9*Drivers!$B$10)*Drivers!$B$36)+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AO15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$6*Drivers!$B$6+(1-$A$6)*Drivers!$B$9*Drivers!$B$10)*Drivers!$B$37)+(Drivers!$E$49*(1+Drivers!$E$50)^0*(1-Drivers!$B$14)^0)*(($A$6*Drivers!$B$5+(1-$A$6)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(($A$6*Drivers!$B$6+(1-$A$6)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$6*Drivers!$B$5+(1-$A$6)*Drivers!$B$9*Drivers!$B$10)*Drivers!$B$36)+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(($A$6*Drivers!$B$6+(1-$A$6)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$6*Drivers!$B$5+(1-$A$6)*Drivers!$B$9*Drivers!$B$10)*Drivers!$B$36)+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AQ15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$6*Drivers!$B$6+(1-$A$6)*Drivers!$B$9*Drivers!$B$10)*Drivers!$B$37)+(Drivers!$E$49*(1+Drivers!$E$50)^0*(1-Drivers!$B$14)^0)*(($A$6*Drivers!$B$5+(1-$A$6)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AR15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$6*Drivers!$B$6+(1-$A$6)*Drivers!$B$9*Drivers!$B$10)*Drivers!$B$37)+(Drivers!$E$49*(1+Drivers!$E$50)^0*(1-Drivers!$B$14)^0)*(($A$6*Drivers!$B$5+(1-$A$6)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AS15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$6*Drivers!$B$6+(1-$A$6)*Drivers!$B$9*Drivers!$B$10)*Drivers!$B$37)+(Drivers!$E$49*(1+Drivers!$E$50)^0*(1-Drivers!$B$14)^0)*(($A$6*Drivers!$B$5+(1-$A$6)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AT15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$6*Drivers!$B$6+(1-$A$6)*Drivers!$B$9*Drivers!$B$10)*Drivers!$B$37)+(Drivers!$E$49*(1+Drivers!$E$50)^0*(1-Drivers!$B$14)^0)*(($A$6*Drivers!$B$5+(1-$A$6)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AU15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$6*Drivers!$B$6+(1-$A$6)*Drivers!$B$9*Drivers!$B$10)*Drivers!$B$37)+(Drivers!$E$49*(1+Drivers!$E$50)^0*(1-Drivers!$B$14)^0)*(($A$6*Drivers!$B$5+(1-$A$6)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AV15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$6*Drivers!$B$6+(1-$A$6)*Drivers!$B$9*Drivers!$B$10)*Drivers!$B$37)+(Drivers!$E$49*(1+Drivers!$E$50)^0*(1-Drivers!$B$14)^0)*(($A$6*Drivers!$B$5+(1-$A$6)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AW15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$6*Drivers!$B$6+(1-$A$6)*Drivers!$B$9*Drivers!$B$10)*Drivers!$B$37)+(Drivers!$E$49*(1+Drivers!$E$50)^0*(1-Drivers!$B$14)^0)*(($A$6*Drivers!$B$5+(1-$A$6)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AX15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$6*Drivers!$B$6+(1-$A$6)*Drivers!$B$9*Drivers!$B$10)*Drivers!$B$37)+(Drivers!$E$49*(1+Drivers!$E$50)^0*(1-Drivers!$B$14)^0)*(($A$6*Drivers!$B$5+(1-$A$6)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AY15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$6*Drivers!$B$6+(1-$A$6)*Drivers!$B$9*Drivers!$B$10)*Drivers!$B$37)+(Drivers!$E$49*(1+Drivers!$E$50)^0*(1-Drivers!$B$14)^0)*(($A$6*Drivers!$B$5+(1-$A$6)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AZ15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$6*Drivers!$B$6+(1-$A$6)*Drivers!$B$9*Drivers!$B$10)*Drivers!$B$37)+(Drivers!$E$49*(1+Drivers!$E$50)^0*(1-Drivers!$B$14)^0)*(($A$6*Drivers!$B$5+(1-$A$6)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BA15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$6*Drivers!$B$6+(1-$A$6)*Drivers!$B$9*Drivers!$B$10)*Drivers!$B$37)+(Drivers!$E$49*(1+Drivers!$E$50)^0*(1-Drivers!$B$14)^0)*(($A$6*Drivers!$B$5+(1-$A$6)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(($A$6*Drivers!$B$6+(1-$A$6)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$6*Drivers!$B$5+(1-$A$6)*Drivers!$B$9*Drivers!$B$10)*Drivers!$B$36)+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BB15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$6*Drivers!$B$6+(1-$A$6)*Drivers!$B$9*Drivers!$B$10)*Drivers!$B$37)+(Drivers!$E$49*(1+Drivers!$E$50)^0*(1-Drivers!$B$14)^0)*(($A$6*Drivers!$B$5+(1-$A$6)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(($A$6*Drivers!$B$6+(1-$A$6)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$6*Drivers!$B$5+(1-$A$6)*Drivers!$B$9*Drivers!$B$10)*Drivers!$B$36)+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(($A$6*Drivers!$B$6+(1-$A$6)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$6*Drivers!$B$5+(1-$A$6)*Drivers!$B$9*Drivers!$B$10)*Drivers!$B$36)+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BD15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$6*Drivers!$B$6+(1-$A$6)*Drivers!$B$9*Drivers!$B$10)*Drivers!$B$37)+(Drivers!$E$49*(1+Drivers!$E$50)^0*(1-Drivers!$B$14)^0)*(($A$6*Drivers!$B$5+(1-$A$6)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BE15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$6*Drivers!$B$6+(1-$A$6)*Drivers!$B$9*Drivers!$B$10)*Drivers!$B$37)+(Drivers!$E$49*(1+Drivers!$E$50)^0*(1-Drivers!$B$14)^0)*(($A$6*Drivers!$B$5+(1-$A$6)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BF15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$6*Drivers!$B$6+(1-$A$6)*Drivers!$B$9*Drivers!$B$10)*Drivers!$B$37)+(Drivers!$E$49*(1+Drivers!$E$50)^0*(1-Drivers!$B$14)^0)*(($A$6*Drivers!$B$5+(1-$A$6)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BG15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$6*Drivers!$B$6+(1-$A$6)*Drivers!$B$9*Drivers!$B$10)*Drivers!$B$37)+(Drivers!$E$49*(1+Drivers!$E$50)^0*(1-Drivers!$B$14)^0)*(($A$6*Drivers!$B$5+(1-$A$6)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BH15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$6*Drivers!$B$6+(1-$A$6)*Drivers!$B$9*Drivers!$B$10)*Drivers!$B$37)+(Drivers!$E$49*(1+Drivers!$E$50)^0*(1-Drivers!$B$14)^0)*(($A$6*Drivers!$B$5+(1-$A$6)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BI15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$6*Drivers!$B$6+(1-$A$6)*Drivers!$B$9*Drivers!$B$10)*Drivers!$B$37)+(Drivers!$E$49*(1+Drivers!$E$50)^0*(1-Drivers!$B$14)^0)*(($A$6*Drivers!$B$5+(1-$A$6)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BJ15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$6*Drivers!$B$6+(1-$A$6)*Drivers!$B$9*Drivers!$B$10)*Drivers!$B$37)+(Drivers!$E$49*(1+Drivers!$E$50)^0*(1-Drivers!$B$14)^0)*(($A$6*Drivers!$B$5+(1-$A$6)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BK15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$6*Drivers!$B$6+(1-$A$6)*Drivers!$B$9*Drivers!$B$10)*Drivers!$B$37)+(Drivers!$E$49*(1+Drivers!$E$50)^0*(1-Drivers!$B$14)^0)*(($A$6*Drivers!$B$5+(1-$A$6)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BL15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$6*Drivers!$B$6+(1-$A$6)*Drivers!$B$9*Drivers!$B$10)*Drivers!$B$37)+(Drivers!$E$49*(1+Drivers!$E$50)^0*(1-Drivers!$B$14)^0)*(($A$6*Drivers!$B$5+(1-$A$6)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BM15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$6*Drivers!$B$6+(1-$A$6)*Drivers!$B$9*Drivers!$B$10)*Drivers!$B$37)+(Drivers!$E$49*(1+Drivers!$E$50)^0*(1-Drivers!$B$14)^0)*(($A$6*Drivers!$B$5+(1-$A$6)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BN15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$6*Drivers!$B$6+(1-$A$6)*Drivers!$B$9*Drivers!$B$10)*Drivers!$B$37)+(Drivers!$E$49*(1+Drivers!$E$50)^0*(1-Drivers!$B$14)^0)*(($A$6*Drivers!$B$5+(1-$A$6)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(($A$6*Drivers!$B$6+(1-$A$6)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$6*Drivers!$B$5+(1-$A$6)*Drivers!$B$9*Drivers!$B$10)*Drivers!$B$36)+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BO15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$6*Drivers!$B$6+(1-$A$6)*Drivers!$B$9*Drivers!$B$10)*Drivers!$B$37)+(Drivers!$E$49*(1+Drivers!$E$50)^0*(1-Drivers!$B$14)^0)*(($A$6*Drivers!$B$5+(1-$A$6)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(($A$6*Drivers!$B$6+(1-$A$6)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$6*Drivers!$B$5+(1-$A$6)*Drivers!$B$9*Drivers!$B$10)*Drivers!$B$36)+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(($A$6*Drivers!$B$6+(1-$A$6)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$6*Drivers!$B$5+(1-$A$6)*Drivers!$B$9*Drivers!$B$10)*Drivers!$B$36)+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BQ15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$6*Drivers!$B$6+(1-$A$6)*Drivers!$B$9*Drivers!$B$10)*Drivers!$B$37)+(Drivers!$E$49*(1+Drivers!$E$50)^0*(1-Drivers!$B$14)^0)*(($A$6*Drivers!$B$5+(1-$A$6)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BR15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$6*Drivers!$B$6+(1-$A$6)*Drivers!$B$9*Drivers!$B$10)*Drivers!$B$37)+(Drivers!$E$49*(1+Drivers!$E$50)^0*(1-Drivers!$B$14)^0)*(($A$6*Drivers!$B$5+(1-$A$6)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BS15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$6*Drivers!$B$6+(1-$A$6)*Drivers!$B$9*Drivers!$B$10)*Drivers!$B$37)+(Drivers!$E$49*(1+Drivers!$E$50)^0*(1-Drivers!$B$14)^0)*(($A$6*Drivers!$B$5+(1-$A$6)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BT15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$6*Drivers!$B$6+(1-$A$6)*Drivers!$B$9*Drivers!$B$10)*Drivers!$B$37)+(Drivers!$E$49*(1+Drivers!$E$50)^0*(1-Drivers!$B$14)^0)*(($A$6*Drivers!$B$5+(1-$A$6)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BU15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$6*Drivers!$B$6+(1-$A$6)*Drivers!$B$9*Drivers!$B$10)*Drivers!$B$37)+(Drivers!$E$49*(1+Drivers!$E$50)^0*(1-Drivers!$B$14)^0)*(($A$6*Drivers!$B$5+(1-$A$6)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BV15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$6*Drivers!$B$6+(1-$A$6)*Drivers!$B$9*Drivers!$B$10)*Drivers!$B$37)+(Drivers!$E$49*(1+Drivers!$E$50)^0*(1-Drivers!$B$14)^0)*(($A$6*Drivers!$B$5+(1-$A$6)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BW15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$6*Drivers!$B$6+(1-$A$6)*Drivers!$B$9*Drivers!$B$10)*Drivers!$B$37)+(Drivers!$E$49*(1+Drivers!$E$50)^0*(1-Drivers!$B$14)^0)*(($A$6*Drivers!$B$5+(1-$A$6)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BX15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$6*Drivers!$B$6+(1-$A$6)*Drivers!$B$9*Drivers!$B$10)*Drivers!$B$37)+(Drivers!$E$49*(1+Drivers!$E$50)^0*(1-Drivers!$B$14)^0)*(($A$6*Drivers!$B$5+(1-$A$6)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BY15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$6*Drivers!$B$6+(1-$A$6)*Drivers!$B$9*Drivers!$B$10)*Drivers!$B$37)+(Drivers!$E$49*(1+Drivers!$E$50)^0*(1-Drivers!$B$14)^0)*(($A$6*Drivers!$B$5+(1-$A$6)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BZ15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$6*Drivers!$B$6+(1-$A$6)*Drivers!$B$9*Drivers!$B$10)*Drivers!$B$37)+(Drivers!$E$49*(1+Drivers!$E$50)^0*(1-Drivers!$B$14)^0)*(($A$6*Drivers!$B$5+(1-$A$6)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CA15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$6*Drivers!$B$6+(1-$A$6)*Drivers!$B$9*Drivers!$B$10)*Drivers!$B$37)+(Drivers!$E$49*(1+Drivers!$E$50)^0*(1-Drivers!$B$14)^0)*(($A$6*Drivers!$B$5+(1-$A$6)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(($A$6*Drivers!$B$6+(1-$A$6)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$6*Drivers!$B$5+(1-$A$6)*Drivers!$B$9*Drivers!$B$10)*Drivers!$B$36)+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CB15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$6*Drivers!$B$6+(1-$A$6)*Drivers!$B$9*Drivers!$B$10)*Drivers!$B$37)+(Drivers!$E$49*(1+Drivers!$E$50)^0*(1-Drivers!$B$14)^0)*(($A$6*Drivers!$B$5+(1-$A$6)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(($A$6*Drivers!$B$6+(1-$A$6)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$6*Drivers!$B$5+(1-$A$6)*Drivers!$B$9*Drivers!$B$10)*Drivers!$B$36)+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(($A$6*Drivers!$B$6+(1-$A$6)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$6*Drivers!$B$5+(1-$A$6)*Drivers!$B$9*Drivers!$B$10)*Drivers!$B$36)+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CD15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$6*Drivers!$B$6+(1-$A$6)*Drivers!$B$9*Drivers!$B$10)*Drivers!$B$37)+(Drivers!$E$49*(1+Drivers!$E$50)^0*(1-Drivers!$B$14)^0)*(($A$6*Drivers!$B$5+(1-$A$6)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CE15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$6*Drivers!$B$6+(1-$A$6)*Drivers!$B$9*Drivers!$B$10)*Drivers!$B$37)+(Drivers!$E$49*(1+Drivers!$E$50)^0*(1-Drivers!$B$14)^0)*(($A$6*Drivers!$B$5+(1-$A$6)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CF15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$6*Drivers!$B$6+(1-$A$6)*Drivers!$B$9*Drivers!$B$10)*Drivers!$B$37)+(Drivers!$E$49*(1+Drivers!$E$50)^0*(1-Drivers!$B$14)^0)*(($A$6*Drivers!$B$5+(1-$A$6)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CG15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$6*Drivers!$B$6+(1-$A$6)*Drivers!$B$9*Drivers!$B$10)*Drivers!$B$37)+(Drivers!$E$49*(1+Drivers!$E$50)^0*(1-Drivers!$B$14)^0)*(($A$6*Drivers!$B$5+(1-$A$6)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CH15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$6*Drivers!$B$6+(1-$A$6)*Drivers!$B$9*Drivers!$B$10)*Drivers!$B$37)+(Drivers!$E$49*(1+Drivers!$E$50)^0*(1-Drivers!$B$14)^0)*(($A$6*Drivers!$B$5+(1-$A$6)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CI15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$6*Drivers!$B$6+(1-$A$6)*Drivers!$B$9*Drivers!$B$10)*Drivers!$B$37)+(Drivers!$E$49*(1+Drivers!$E$50)^0*(1-Drivers!$B$14)^0)*(($A$6*Drivers!$B$5+(1-$A$6)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CJ15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$6*Drivers!$B$6+(1-$A$6)*Drivers!$B$9*Drivers!$B$10)*Drivers!$B$37)+(Drivers!$E$49*(1+Drivers!$E$50)^0*(1-Drivers!$B$14)^0)*(($A$6*Drivers!$B$5+(1-$A$6)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CK15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$6*Drivers!$B$6+(1-$A$6)*Drivers!$B$9*Drivers!$B$10)*Drivers!$B$37)+(Drivers!$E$49*(1+Drivers!$E$50)^0*(1-Drivers!$B$14)^0)*(($A$6*Drivers!$B$5+(1-$A$6)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CL15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$6*Drivers!$B$6+(1-$A$6)*Drivers!$B$9*Drivers!$B$10)*Drivers!$B$37)+(Drivers!$E$49*(1+Drivers!$E$50)^0*(1-Drivers!$B$14)^0)*(($A$6*Drivers!$B$5+(1-$A$6)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CM15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$6*Drivers!$B$6+(1-$A$6)*Drivers!$B$9*Drivers!$B$10)*Drivers!$B$37)+(Drivers!$E$49*(1+Drivers!$E$50)^0*(1-Drivers!$B$14)^0)*(($A$6*Drivers!$B$5+(1-$A$6)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CN15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$6*Drivers!$B$6+(1-$A$6)*Drivers!$B$9*Drivers!$B$10)*Drivers!$B$37)+(Drivers!$E$49*(1+Drivers!$E$50)^0*(1-Drivers!$B$14)^0)*(($A$6*Drivers!$B$5+(1-$A$6)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(($A$6*Drivers!$B$6+(1-$A$6)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$6*Drivers!$B$5+(1-$A$6)*Drivers!$B$9*Drivers!$B$10)*Drivers!$B$36)+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CO15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$6*Drivers!$B$6+(1-$A$6)*Drivers!$B$9*Drivers!$B$10)*Drivers!$B$37)+(Drivers!$E$49*(1+Drivers!$E$50)^0*(1-Drivers!$B$14)^0)*(($A$6*Drivers!$B$5+(1-$A$6)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$6*Drivers!$B$6+(1-$A$6)*Drivers!$B$9*Drivers!$B$10)*Drivers!$B$37)+(Drivers!$E$49*(1+Drivers!$E$50)^0*(1-Drivers!$B$14)^1+Drivers!$E$49*(1+Drivers!$E$50)^1*(1-Drivers!$B$14)^0)*(($A$6*Drivers!$B$5+(1-$A$6)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$6*Drivers!$B$6+(1-$A$6)*Drivers!$B$9*Drivers!$B$10)*Drivers!$B$37)+(Drivers!$E$49*(1+Drivers!$E$50)^0*(1-Drivers!$B$14)^2+Drivers!$E$49*(1+Drivers!$E$50)^1*(1-Drivers!$B$14)^1+Drivers!$E$49*(1+Drivers!$E$50)^2*(1-Drivers!$B$14)^0)*(($A$6*Drivers!$B$5+(1-$A$6)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$6*Drivers!$B$6+(1-$A$6)*Drivers!$B$9*Drivers!$B$10)*Drivers!$B$37)+(Drivers!$E$49*(1+Drivers!$E$50)^0*(1-Drivers!$B$14)^3+Drivers!$E$49*(1+Drivers!$E$50)^1*(1-Drivers!$B$14)^2+Drivers!$E$49*(1+Drivers!$E$50)^2*(1-Drivers!$B$14)^1+Drivers!$E$49*(1+Drivers!$E$50)^3*(1-Drivers!$B$14)^0)*(($A$6*Drivers!$B$5+(1-$A$6)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$6*Drivers!$B$6+(1-$A$6)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$6*Drivers!$B$5+(1-$A$6)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$6*Drivers!$B$6+(1-$A$6)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$6*Drivers!$B$5+(1-$A$6)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$6*Drivers!$B$6+(1-$A$6)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$6*Drivers!$B$5+(1-$A$6)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$6*Drivers!$B$6+(1-$A$6)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$6*Drivers!$B$5+(1-$A$6)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$6*Drivers!$B$6+(1-$A$6)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$6*Drivers!$B$5+(1-$A$6)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$6*Drivers!$B$6+(1-$A$6)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$6*Drivers!$B$5+(1-$A$6)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(($A$6*Drivers!$B$6+(1-$A$6)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$6*Drivers!$B$5+(1-$A$6)*Drivers!$B$9*Drivers!$B$10)*Drivers!$B$36)+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(($A$6*Drivers!$B$6+(1-$A$6)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$6*Drivers!$B$5+(1-$A$6)*Drivers!$B$9*Drivers!$B$10)*Drivers!$B$36)+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</row>
    <row r="16">
      <c r="D16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$7*Drivers!$B$6+(1-$A$7)*Drivers!$B$9*Drivers!$B$10)*Drivers!$B$37)+(Drivers!$E$49*(1+Drivers!$E$50)^0*(1-Drivers!$B$14)^0)*(($A$7*Drivers!$B$5+(1-$A$7)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E16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$7*Drivers!$B$6+(1-$A$7)*Drivers!$B$9*Drivers!$B$10)*Drivers!$B$37)+(Drivers!$E$49*(1+Drivers!$E$50)^0*(1-Drivers!$B$14)^0)*(($A$7*Drivers!$B$5+(1-$A$7)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F16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$7*Drivers!$B$6+(1-$A$7)*Drivers!$B$9*Drivers!$B$10)*Drivers!$B$37)+(Drivers!$E$49*(1+Drivers!$E$50)^0*(1-Drivers!$B$14)^0)*(($A$7*Drivers!$B$5+(1-$A$7)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G16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$7*Drivers!$B$6+(1-$A$7)*Drivers!$B$9*Drivers!$B$10)*Drivers!$B$37)+(Drivers!$E$49*(1+Drivers!$E$50)^0*(1-Drivers!$B$14)^0)*(($A$7*Drivers!$B$5+(1-$A$7)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H16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$7*Drivers!$B$6+(1-$A$7)*Drivers!$B$9*Drivers!$B$10)*Drivers!$B$37)+(Drivers!$E$49*(1+Drivers!$E$50)^0*(1-Drivers!$B$14)^0)*(($A$7*Drivers!$B$5+(1-$A$7)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I16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$7*Drivers!$B$6+(1-$A$7)*Drivers!$B$9*Drivers!$B$10)*Drivers!$B$37)+(Drivers!$E$49*(1+Drivers!$E$50)^0*(1-Drivers!$B$14)^0)*(($A$7*Drivers!$B$5+(1-$A$7)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J16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$7*Drivers!$B$6+(1-$A$7)*Drivers!$B$9*Drivers!$B$10)*Drivers!$B$37)+(Drivers!$E$49*(1+Drivers!$E$50)^0*(1-Drivers!$B$14)^0)*(($A$7*Drivers!$B$5+(1-$A$7)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K16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$7*Drivers!$B$6+(1-$A$7)*Drivers!$B$9*Drivers!$B$10)*Drivers!$B$37)+(Drivers!$E$49*(1+Drivers!$E$50)^0*(1-Drivers!$B$14)^0)*(($A$7*Drivers!$B$5+(1-$A$7)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L16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$7*Drivers!$B$6+(1-$A$7)*Drivers!$B$9*Drivers!$B$10)*Drivers!$B$37)+(Drivers!$E$49*(1+Drivers!$E$50)^0*(1-Drivers!$B$14)^0)*(($A$7*Drivers!$B$5+(1-$A$7)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M16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$7*Drivers!$B$6+(1-$A$7)*Drivers!$B$9*Drivers!$B$10)*Drivers!$B$37)+(Drivers!$E$49*(1+Drivers!$E$50)^0*(1-Drivers!$B$14)^0)*(($A$7*Drivers!$B$5+(1-$A$7)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N16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$7*Drivers!$B$6+(1-$A$7)*Drivers!$B$9*Drivers!$B$10)*Drivers!$B$37)+(Drivers!$E$49*(1+Drivers!$E$50)^0*(1-Drivers!$B$14)^0)*(($A$7*Drivers!$B$5+(1-$A$7)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(($A$7*Drivers!$B$6+(1-$A$7)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$7*Drivers!$B$5+(1-$A$7)*Drivers!$B$9*Drivers!$B$10)*Drivers!$B$36)+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O16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$7*Drivers!$B$6+(1-$A$7)*Drivers!$B$9*Drivers!$B$10)*Drivers!$B$37)+(Drivers!$E$49*(1+Drivers!$E$50)^0*(1-Drivers!$B$14)^0)*(($A$7*Drivers!$B$5+(1-$A$7)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(($A$7*Drivers!$B$6+(1-$A$7)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$7*Drivers!$B$5+(1-$A$7)*Drivers!$B$9*Drivers!$B$10)*Drivers!$B$36)+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(($A$7*Drivers!$B$6+(1-$A$7)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$7*Drivers!$B$5+(1-$A$7)*Drivers!$B$9*Drivers!$B$10)*Drivers!$B$36)+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Q16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$7*Drivers!$B$6+(1-$A$7)*Drivers!$B$9*Drivers!$B$10)*Drivers!$B$37)+(Drivers!$E$49*(1+Drivers!$E$50)^0*(1-Drivers!$B$14)^0)*(($A$7*Drivers!$B$5+(1-$A$7)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R16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$7*Drivers!$B$6+(1-$A$7)*Drivers!$B$9*Drivers!$B$10)*Drivers!$B$37)+(Drivers!$E$49*(1+Drivers!$E$50)^0*(1-Drivers!$B$14)^0)*(($A$7*Drivers!$B$5+(1-$A$7)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S16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$7*Drivers!$B$6+(1-$A$7)*Drivers!$B$9*Drivers!$B$10)*Drivers!$B$37)+(Drivers!$E$49*(1+Drivers!$E$50)^0*(1-Drivers!$B$14)^0)*(($A$7*Drivers!$B$5+(1-$A$7)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T16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$7*Drivers!$B$6+(1-$A$7)*Drivers!$B$9*Drivers!$B$10)*Drivers!$B$37)+(Drivers!$E$49*(1+Drivers!$E$50)^0*(1-Drivers!$B$14)^0)*(($A$7*Drivers!$B$5+(1-$A$7)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U16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$7*Drivers!$B$6+(1-$A$7)*Drivers!$B$9*Drivers!$B$10)*Drivers!$B$37)+(Drivers!$E$49*(1+Drivers!$E$50)^0*(1-Drivers!$B$14)^0)*(($A$7*Drivers!$B$5+(1-$A$7)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V16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$7*Drivers!$B$6+(1-$A$7)*Drivers!$B$9*Drivers!$B$10)*Drivers!$B$37)+(Drivers!$E$49*(1+Drivers!$E$50)^0*(1-Drivers!$B$14)^0)*(($A$7*Drivers!$B$5+(1-$A$7)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W16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$7*Drivers!$B$6+(1-$A$7)*Drivers!$B$9*Drivers!$B$10)*Drivers!$B$37)+(Drivers!$E$49*(1+Drivers!$E$50)^0*(1-Drivers!$B$14)^0)*(($A$7*Drivers!$B$5+(1-$A$7)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X16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$7*Drivers!$B$6+(1-$A$7)*Drivers!$B$9*Drivers!$B$10)*Drivers!$B$37)+(Drivers!$E$49*(1+Drivers!$E$50)^0*(1-Drivers!$B$14)^0)*(($A$7*Drivers!$B$5+(1-$A$7)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Y16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$7*Drivers!$B$6+(1-$A$7)*Drivers!$B$9*Drivers!$B$10)*Drivers!$B$37)+(Drivers!$E$49*(1+Drivers!$E$50)^0*(1-Drivers!$B$14)^0)*(($A$7*Drivers!$B$5+(1-$A$7)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Z16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$7*Drivers!$B$6+(1-$A$7)*Drivers!$B$9*Drivers!$B$10)*Drivers!$B$37)+(Drivers!$E$49*(1+Drivers!$E$50)^0*(1-Drivers!$B$14)^0)*(($A$7*Drivers!$B$5+(1-$A$7)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AA16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$7*Drivers!$B$6+(1-$A$7)*Drivers!$B$9*Drivers!$B$10)*Drivers!$B$37)+(Drivers!$E$49*(1+Drivers!$E$50)^0*(1-Drivers!$B$14)^0)*(($A$7*Drivers!$B$5+(1-$A$7)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(($A$7*Drivers!$B$6+(1-$A$7)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$7*Drivers!$B$5+(1-$A$7)*Drivers!$B$9*Drivers!$B$10)*Drivers!$B$36)+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AB16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$7*Drivers!$B$6+(1-$A$7)*Drivers!$B$9*Drivers!$B$10)*Drivers!$B$37)+(Drivers!$E$49*(1+Drivers!$E$50)^0*(1-Drivers!$B$14)^0)*(($A$7*Drivers!$B$5+(1-$A$7)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(($A$7*Drivers!$B$6+(1-$A$7)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$7*Drivers!$B$5+(1-$A$7)*Drivers!$B$9*Drivers!$B$10)*Drivers!$B$36)+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(($A$7*Drivers!$B$6+(1-$A$7)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$7*Drivers!$B$5+(1-$A$7)*Drivers!$B$9*Drivers!$B$10)*Drivers!$B$36)+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AD16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$7*Drivers!$B$6+(1-$A$7)*Drivers!$B$9*Drivers!$B$10)*Drivers!$B$37)+(Drivers!$E$49*(1+Drivers!$E$50)^0*(1-Drivers!$B$14)^0)*(($A$7*Drivers!$B$5+(1-$A$7)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AE16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$7*Drivers!$B$6+(1-$A$7)*Drivers!$B$9*Drivers!$B$10)*Drivers!$B$37)+(Drivers!$E$49*(1+Drivers!$E$50)^0*(1-Drivers!$B$14)^0)*(($A$7*Drivers!$B$5+(1-$A$7)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AF16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$7*Drivers!$B$6+(1-$A$7)*Drivers!$B$9*Drivers!$B$10)*Drivers!$B$37)+(Drivers!$E$49*(1+Drivers!$E$50)^0*(1-Drivers!$B$14)^0)*(($A$7*Drivers!$B$5+(1-$A$7)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AG16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$7*Drivers!$B$6+(1-$A$7)*Drivers!$B$9*Drivers!$B$10)*Drivers!$B$37)+(Drivers!$E$49*(1+Drivers!$E$50)^0*(1-Drivers!$B$14)^0)*(($A$7*Drivers!$B$5+(1-$A$7)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AH16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$7*Drivers!$B$6+(1-$A$7)*Drivers!$B$9*Drivers!$B$10)*Drivers!$B$37)+(Drivers!$E$49*(1+Drivers!$E$50)^0*(1-Drivers!$B$14)^0)*(($A$7*Drivers!$B$5+(1-$A$7)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AI16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$7*Drivers!$B$6+(1-$A$7)*Drivers!$B$9*Drivers!$B$10)*Drivers!$B$37)+(Drivers!$E$49*(1+Drivers!$E$50)^0*(1-Drivers!$B$14)^0)*(($A$7*Drivers!$B$5+(1-$A$7)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AJ16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$7*Drivers!$B$6+(1-$A$7)*Drivers!$B$9*Drivers!$B$10)*Drivers!$B$37)+(Drivers!$E$49*(1+Drivers!$E$50)^0*(1-Drivers!$B$14)^0)*(($A$7*Drivers!$B$5+(1-$A$7)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AK16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$7*Drivers!$B$6+(1-$A$7)*Drivers!$B$9*Drivers!$B$10)*Drivers!$B$37)+(Drivers!$E$49*(1+Drivers!$E$50)^0*(1-Drivers!$B$14)^0)*(($A$7*Drivers!$B$5+(1-$A$7)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AL16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$7*Drivers!$B$6+(1-$A$7)*Drivers!$B$9*Drivers!$B$10)*Drivers!$B$37)+(Drivers!$E$49*(1+Drivers!$E$50)^0*(1-Drivers!$B$14)^0)*(($A$7*Drivers!$B$5+(1-$A$7)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AM16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$7*Drivers!$B$6+(1-$A$7)*Drivers!$B$9*Drivers!$B$10)*Drivers!$B$37)+(Drivers!$E$49*(1+Drivers!$E$50)^0*(1-Drivers!$B$14)^0)*(($A$7*Drivers!$B$5+(1-$A$7)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AN16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$7*Drivers!$B$6+(1-$A$7)*Drivers!$B$9*Drivers!$B$10)*Drivers!$B$37)+(Drivers!$E$49*(1+Drivers!$E$50)^0*(1-Drivers!$B$14)^0)*(($A$7*Drivers!$B$5+(1-$A$7)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(($A$7*Drivers!$B$6+(1-$A$7)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$7*Drivers!$B$5+(1-$A$7)*Drivers!$B$9*Drivers!$B$10)*Drivers!$B$36)+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AO16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$7*Drivers!$B$6+(1-$A$7)*Drivers!$B$9*Drivers!$B$10)*Drivers!$B$37)+(Drivers!$E$49*(1+Drivers!$E$50)^0*(1-Drivers!$B$14)^0)*(($A$7*Drivers!$B$5+(1-$A$7)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(($A$7*Drivers!$B$6+(1-$A$7)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$7*Drivers!$B$5+(1-$A$7)*Drivers!$B$9*Drivers!$B$10)*Drivers!$B$36)+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(($A$7*Drivers!$B$6+(1-$A$7)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$7*Drivers!$B$5+(1-$A$7)*Drivers!$B$9*Drivers!$B$10)*Drivers!$B$36)+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AQ16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$7*Drivers!$B$6+(1-$A$7)*Drivers!$B$9*Drivers!$B$10)*Drivers!$B$37)+(Drivers!$E$49*(1+Drivers!$E$50)^0*(1-Drivers!$B$14)^0)*(($A$7*Drivers!$B$5+(1-$A$7)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AR16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$7*Drivers!$B$6+(1-$A$7)*Drivers!$B$9*Drivers!$B$10)*Drivers!$B$37)+(Drivers!$E$49*(1+Drivers!$E$50)^0*(1-Drivers!$B$14)^0)*(($A$7*Drivers!$B$5+(1-$A$7)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AS16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$7*Drivers!$B$6+(1-$A$7)*Drivers!$B$9*Drivers!$B$10)*Drivers!$B$37)+(Drivers!$E$49*(1+Drivers!$E$50)^0*(1-Drivers!$B$14)^0)*(($A$7*Drivers!$B$5+(1-$A$7)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AT16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$7*Drivers!$B$6+(1-$A$7)*Drivers!$B$9*Drivers!$B$10)*Drivers!$B$37)+(Drivers!$E$49*(1+Drivers!$E$50)^0*(1-Drivers!$B$14)^0)*(($A$7*Drivers!$B$5+(1-$A$7)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AU16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$7*Drivers!$B$6+(1-$A$7)*Drivers!$B$9*Drivers!$B$10)*Drivers!$B$37)+(Drivers!$E$49*(1+Drivers!$E$50)^0*(1-Drivers!$B$14)^0)*(($A$7*Drivers!$B$5+(1-$A$7)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AV16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$7*Drivers!$B$6+(1-$A$7)*Drivers!$B$9*Drivers!$B$10)*Drivers!$B$37)+(Drivers!$E$49*(1+Drivers!$E$50)^0*(1-Drivers!$B$14)^0)*(($A$7*Drivers!$B$5+(1-$A$7)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AW16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$7*Drivers!$B$6+(1-$A$7)*Drivers!$B$9*Drivers!$B$10)*Drivers!$B$37)+(Drivers!$E$49*(1+Drivers!$E$50)^0*(1-Drivers!$B$14)^0)*(($A$7*Drivers!$B$5+(1-$A$7)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AX16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$7*Drivers!$B$6+(1-$A$7)*Drivers!$B$9*Drivers!$B$10)*Drivers!$B$37)+(Drivers!$E$49*(1+Drivers!$E$50)^0*(1-Drivers!$B$14)^0)*(($A$7*Drivers!$B$5+(1-$A$7)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AY16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$7*Drivers!$B$6+(1-$A$7)*Drivers!$B$9*Drivers!$B$10)*Drivers!$B$37)+(Drivers!$E$49*(1+Drivers!$E$50)^0*(1-Drivers!$B$14)^0)*(($A$7*Drivers!$B$5+(1-$A$7)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AZ16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$7*Drivers!$B$6+(1-$A$7)*Drivers!$B$9*Drivers!$B$10)*Drivers!$B$37)+(Drivers!$E$49*(1+Drivers!$E$50)^0*(1-Drivers!$B$14)^0)*(($A$7*Drivers!$B$5+(1-$A$7)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BA16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$7*Drivers!$B$6+(1-$A$7)*Drivers!$B$9*Drivers!$B$10)*Drivers!$B$37)+(Drivers!$E$49*(1+Drivers!$E$50)^0*(1-Drivers!$B$14)^0)*(($A$7*Drivers!$B$5+(1-$A$7)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(($A$7*Drivers!$B$6+(1-$A$7)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$7*Drivers!$B$5+(1-$A$7)*Drivers!$B$9*Drivers!$B$10)*Drivers!$B$36)+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BB16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$7*Drivers!$B$6+(1-$A$7)*Drivers!$B$9*Drivers!$B$10)*Drivers!$B$37)+(Drivers!$E$49*(1+Drivers!$E$50)^0*(1-Drivers!$B$14)^0)*(($A$7*Drivers!$B$5+(1-$A$7)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(($A$7*Drivers!$B$6+(1-$A$7)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$7*Drivers!$B$5+(1-$A$7)*Drivers!$B$9*Drivers!$B$10)*Drivers!$B$36)+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(($A$7*Drivers!$B$6+(1-$A$7)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$7*Drivers!$B$5+(1-$A$7)*Drivers!$B$9*Drivers!$B$10)*Drivers!$B$36)+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BD16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$7*Drivers!$B$6+(1-$A$7)*Drivers!$B$9*Drivers!$B$10)*Drivers!$B$37)+(Drivers!$E$49*(1+Drivers!$E$50)^0*(1-Drivers!$B$14)^0)*(($A$7*Drivers!$B$5+(1-$A$7)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BE16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$7*Drivers!$B$6+(1-$A$7)*Drivers!$B$9*Drivers!$B$10)*Drivers!$B$37)+(Drivers!$E$49*(1+Drivers!$E$50)^0*(1-Drivers!$B$14)^0)*(($A$7*Drivers!$B$5+(1-$A$7)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BF16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$7*Drivers!$B$6+(1-$A$7)*Drivers!$B$9*Drivers!$B$10)*Drivers!$B$37)+(Drivers!$E$49*(1+Drivers!$E$50)^0*(1-Drivers!$B$14)^0)*(($A$7*Drivers!$B$5+(1-$A$7)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BG16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$7*Drivers!$B$6+(1-$A$7)*Drivers!$B$9*Drivers!$B$10)*Drivers!$B$37)+(Drivers!$E$49*(1+Drivers!$E$50)^0*(1-Drivers!$B$14)^0)*(($A$7*Drivers!$B$5+(1-$A$7)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BH16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$7*Drivers!$B$6+(1-$A$7)*Drivers!$B$9*Drivers!$B$10)*Drivers!$B$37)+(Drivers!$E$49*(1+Drivers!$E$50)^0*(1-Drivers!$B$14)^0)*(($A$7*Drivers!$B$5+(1-$A$7)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BI16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$7*Drivers!$B$6+(1-$A$7)*Drivers!$B$9*Drivers!$B$10)*Drivers!$B$37)+(Drivers!$E$49*(1+Drivers!$E$50)^0*(1-Drivers!$B$14)^0)*(($A$7*Drivers!$B$5+(1-$A$7)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BJ16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$7*Drivers!$B$6+(1-$A$7)*Drivers!$B$9*Drivers!$B$10)*Drivers!$B$37)+(Drivers!$E$49*(1+Drivers!$E$50)^0*(1-Drivers!$B$14)^0)*(($A$7*Drivers!$B$5+(1-$A$7)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BK16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$7*Drivers!$B$6+(1-$A$7)*Drivers!$B$9*Drivers!$B$10)*Drivers!$B$37)+(Drivers!$E$49*(1+Drivers!$E$50)^0*(1-Drivers!$B$14)^0)*(($A$7*Drivers!$B$5+(1-$A$7)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BL16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$7*Drivers!$B$6+(1-$A$7)*Drivers!$B$9*Drivers!$B$10)*Drivers!$B$37)+(Drivers!$E$49*(1+Drivers!$E$50)^0*(1-Drivers!$B$14)^0)*(($A$7*Drivers!$B$5+(1-$A$7)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BM16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$7*Drivers!$B$6+(1-$A$7)*Drivers!$B$9*Drivers!$B$10)*Drivers!$B$37)+(Drivers!$E$49*(1+Drivers!$E$50)^0*(1-Drivers!$B$14)^0)*(($A$7*Drivers!$B$5+(1-$A$7)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BN16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$7*Drivers!$B$6+(1-$A$7)*Drivers!$B$9*Drivers!$B$10)*Drivers!$B$37)+(Drivers!$E$49*(1+Drivers!$E$50)^0*(1-Drivers!$B$14)^0)*(($A$7*Drivers!$B$5+(1-$A$7)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(($A$7*Drivers!$B$6+(1-$A$7)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$7*Drivers!$B$5+(1-$A$7)*Drivers!$B$9*Drivers!$B$10)*Drivers!$B$36)+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BO16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$7*Drivers!$B$6+(1-$A$7)*Drivers!$B$9*Drivers!$B$10)*Drivers!$B$37)+(Drivers!$E$49*(1+Drivers!$E$50)^0*(1-Drivers!$B$14)^0)*(($A$7*Drivers!$B$5+(1-$A$7)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(($A$7*Drivers!$B$6+(1-$A$7)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$7*Drivers!$B$5+(1-$A$7)*Drivers!$B$9*Drivers!$B$10)*Drivers!$B$36)+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(($A$7*Drivers!$B$6+(1-$A$7)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$7*Drivers!$B$5+(1-$A$7)*Drivers!$B$9*Drivers!$B$10)*Drivers!$B$36)+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BQ16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$7*Drivers!$B$6+(1-$A$7)*Drivers!$B$9*Drivers!$B$10)*Drivers!$B$37)+(Drivers!$E$49*(1+Drivers!$E$50)^0*(1-Drivers!$B$14)^0)*(($A$7*Drivers!$B$5+(1-$A$7)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BR16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$7*Drivers!$B$6+(1-$A$7)*Drivers!$B$9*Drivers!$B$10)*Drivers!$B$37)+(Drivers!$E$49*(1+Drivers!$E$50)^0*(1-Drivers!$B$14)^0)*(($A$7*Drivers!$B$5+(1-$A$7)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BS16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$7*Drivers!$B$6+(1-$A$7)*Drivers!$B$9*Drivers!$B$10)*Drivers!$B$37)+(Drivers!$E$49*(1+Drivers!$E$50)^0*(1-Drivers!$B$14)^0)*(($A$7*Drivers!$B$5+(1-$A$7)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BT16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$7*Drivers!$B$6+(1-$A$7)*Drivers!$B$9*Drivers!$B$10)*Drivers!$B$37)+(Drivers!$E$49*(1+Drivers!$E$50)^0*(1-Drivers!$B$14)^0)*(($A$7*Drivers!$B$5+(1-$A$7)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BU16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$7*Drivers!$B$6+(1-$A$7)*Drivers!$B$9*Drivers!$B$10)*Drivers!$B$37)+(Drivers!$E$49*(1+Drivers!$E$50)^0*(1-Drivers!$B$14)^0)*(($A$7*Drivers!$B$5+(1-$A$7)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BV16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$7*Drivers!$B$6+(1-$A$7)*Drivers!$B$9*Drivers!$B$10)*Drivers!$B$37)+(Drivers!$E$49*(1+Drivers!$E$50)^0*(1-Drivers!$B$14)^0)*(($A$7*Drivers!$B$5+(1-$A$7)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BW16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$7*Drivers!$B$6+(1-$A$7)*Drivers!$B$9*Drivers!$B$10)*Drivers!$B$37)+(Drivers!$E$49*(1+Drivers!$E$50)^0*(1-Drivers!$B$14)^0)*(($A$7*Drivers!$B$5+(1-$A$7)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BX16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$7*Drivers!$B$6+(1-$A$7)*Drivers!$B$9*Drivers!$B$10)*Drivers!$B$37)+(Drivers!$E$49*(1+Drivers!$E$50)^0*(1-Drivers!$B$14)^0)*(($A$7*Drivers!$B$5+(1-$A$7)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BY16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$7*Drivers!$B$6+(1-$A$7)*Drivers!$B$9*Drivers!$B$10)*Drivers!$B$37)+(Drivers!$E$49*(1+Drivers!$E$50)^0*(1-Drivers!$B$14)^0)*(($A$7*Drivers!$B$5+(1-$A$7)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BZ16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$7*Drivers!$B$6+(1-$A$7)*Drivers!$B$9*Drivers!$B$10)*Drivers!$B$37)+(Drivers!$E$49*(1+Drivers!$E$50)^0*(1-Drivers!$B$14)^0)*(($A$7*Drivers!$B$5+(1-$A$7)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CA16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$7*Drivers!$B$6+(1-$A$7)*Drivers!$B$9*Drivers!$B$10)*Drivers!$B$37)+(Drivers!$E$49*(1+Drivers!$E$50)^0*(1-Drivers!$B$14)^0)*(($A$7*Drivers!$B$5+(1-$A$7)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(($A$7*Drivers!$B$6+(1-$A$7)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$7*Drivers!$B$5+(1-$A$7)*Drivers!$B$9*Drivers!$B$10)*Drivers!$B$36)+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CB16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$7*Drivers!$B$6+(1-$A$7)*Drivers!$B$9*Drivers!$B$10)*Drivers!$B$37)+(Drivers!$E$49*(1+Drivers!$E$50)^0*(1-Drivers!$B$14)^0)*(($A$7*Drivers!$B$5+(1-$A$7)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(($A$7*Drivers!$B$6+(1-$A$7)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$7*Drivers!$B$5+(1-$A$7)*Drivers!$B$9*Drivers!$B$10)*Drivers!$B$36)+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(($A$7*Drivers!$B$6+(1-$A$7)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$7*Drivers!$B$5+(1-$A$7)*Drivers!$B$9*Drivers!$B$10)*Drivers!$B$36)+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CD16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$7*Drivers!$B$6+(1-$A$7)*Drivers!$B$9*Drivers!$B$10)*Drivers!$B$37)+(Drivers!$E$49*(1+Drivers!$E$50)^0*(1-Drivers!$B$14)^0)*(($A$7*Drivers!$B$5+(1-$A$7)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CE16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$7*Drivers!$B$6+(1-$A$7)*Drivers!$B$9*Drivers!$B$10)*Drivers!$B$37)+(Drivers!$E$49*(1+Drivers!$E$50)^0*(1-Drivers!$B$14)^0)*(($A$7*Drivers!$B$5+(1-$A$7)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CF16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$7*Drivers!$B$6+(1-$A$7)*Drivers!$B$9*Drivers!$B$10)*Drivers!$B$37)+(Drivers!$E$49*(1+Drivers!$E$50)^0*(1-Drivers!$B$14)^0)*(($A$7*Drivers!$B$5+(1-$A$7)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CG16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$7*Drivers!$B$6+(1-$A$7)*Drivers!$B$9*Drivers!$B$10)*Drivers!$B$37)+(Drivers!$E$49*(1+Drivers!$E$50)^0*(1-Drivers!$B$14)^0)*(($A$7*Drivers!$B$5+(1-$A$7)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CH16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$7*Drivers!$B$6+(1-$A$7)*Drivers!$B$9*Drivers!$B$10)*Drivers!$B$37)+(Drivers!$E$49*(1+Drivers!$E$50)^0*(1-Drivers!$B$14)^0)*(($A$7*Drivers!$B$5+(1-$A$7)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CI16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$7*Drivers!$B$6+(1-$A$7)*Drivers!$B$9*Drivers!$B$10)*Drivers!$B$37)+(Drivers!$E$49*(1+Drivers!$E$50)^0*(1-Drivers!$B$14)^0)*(($A$7*Drivers!$B$5+(1-$A$7)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CJ16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$7*Drivers!$B$6+(1-$A$7)*Drivers!$B$9*Drivers!$B$10)*Drivers!$B$37)+(Drivers!$E$49*(1+Drivers!$E$50)^0*(1-Drivers!$B$14)^0)*(($A$7*Drivers!$B$5+(1-$A$7)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CK16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$7*Drivers!$B$6+(1-$A$7)*Drivers!$B$9*Drivers!$B$10)*Drivers!$B$37)+(Drivers!$E$49*(1+Drivers!$E$50)^0*(1-Drivers!$B$14)^0)*(($A$7*Drivers!$B$5+(1-$A$7)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CL16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$7*Drivers!$B$6+(1-$A$7)*Drivers!$B$9*Drivers!$B$10)*Drivers!$B$37)+(Drivers!$E$49*(1+Drivers!$E$50)^0*(1-Drivers!$B$14)^0)*(($A$7*Drivers!$B$5+(1-$A$7)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CM16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$7*Drivers!$B$6+(1-$A$7)*Drivers!$B$9*Drivers!$B$10)*Drivers!$B$37)+(Drivers!$E$49*(1+Drivers!$E$50)^0*(1-Drivers!$B$14)^0)*(($A$7*Drivers!$B$5+(1-$A$7)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CN16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$7*Drivers!$B$6+(1-$A$7)*Drivers!$B$9*Drivers!$B$10)*Drivers!$B$37)+(Drivers!$E$49*(1+Drivers!$E$50)^0*(1-Drivers!$B$14)^0)*(($A$7*Drivers!$B$5+(1-$A$7)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(($A$7*Drivers!$B$6+(1-$A$7)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$7*Drivers!$B$5+(1-$A$7)*Drivers!$B$9*Drivers!$B$10)*Drivers!$B$36)+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CO16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$7*Drivers!$B$6+(1-$A$7)*Drivers!$B$9*Drivers!$B$10)*Drivers!$B$37)+(Drivers!$E$49*(1+Drivers!$E$50)^0*(1-Drivers!$B$14)^0)*(($A$7*Drivers!$B$5+(1-$A$7)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$7*Drivers!$B$6+(1-$A$7)*Drivers!$B$9*Drivers!$B$10)*Drivers!$B$37)+(Drivers!$E$49*(1+Drivers!$E$50)^0*(1-Drivers!$B$14)^1+Drivers!$E$49*(1+Drivers!$E$50)^1*(1-Drivers!$B$14)^0)*(($A$7*Drivers!$B$5+(1-$A$7)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$7*Drivers!$B$6+(1-$A$7)*Drivers!$B$9*Drivers!$B$10)*Drivers!$B$37)+(Drivers!$E$49*(1+Drivers!$E$50)^0*(1-Drivers!$B$14)^2+Drivers!$E$49*(1+Drivers!$E$50)^1*(1-Drivers!$B$14)^1+Drivers!$E$49*(1+Drivers!$E$50)^2*(1-Drivers!$B$14)^0)*(($A$7*Drivers!$B$5+(1-$A$7)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$7*Drivers!$B$6+(1-$A$7)*Drivers!$B$9*Drivers!$B$10)*Drivers!$B$37)+(Drivers!$E$49*(1+Drivers!$E$50)^0*(1-Drivers!$B$14)^3+Drivers!$E$49*(1+Drivers!$E$50)^1*(1-Drivers!$B$14)^2+Drivers!$E$49*(1+Drivers!$E$50)^2*(1-Drivers!$B$14)^1+Drivers!$E$49*(1+Drivers!$E$50)^3*(1-Drivers!$B$14)^0)*(($A$7*Drivers!$B$5+(1-$A$7)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$7*Drivers!$B$6+(1-$A$7)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$7*Drivers!$B$5+(1-$A$7)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$7*Drivers!$B$6+(1-$A$7)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$7*Drivers!$B$5+(1-$A$7)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$7*Drivers!$B$6+(1-$A$7)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$7*Drivers!$B$5+(1-$A$7)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$7*Drivers!$B$6+(1-$A$7)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$7*Drivers!$B$5+(1-$A$7)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$7*Drivers!$B$6+(1-$A$7)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$7*Drivers!$B$5+(1-$A$7)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$7*Drivers!$B$6+(1-$A$7)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$7*Drivers!$B$5+(1-$A$7)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(($A$7*Drivers!$B$6+(1-$A$7)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$7*Drivers!$B$5+(1-$A$7)*Drivers!$B$9*Drivers!$B$10)*Drivers!$B$36)+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(($A$7*Drivers!$B$6+(1-$A$7)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$7*Drivers!$B$5+(1-$A$7)*Drivers!$B$9*Drivers!$B$10)*Drivers!$B$36)+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</row>
    <row r="17">
      <c r="D17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$8*Drivers!$B$6+(1-$A$8)*Drivers!$B$9*Drivers!$B$10)*Drivers!$B$37)+(Drivers!$E$49*(1+Drivers!$E$50)^0*(1-Drivers!$B$14)^0)*(($A$8*Drivers!$B$5+(1-$A$8)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E17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$8*Drivers!$B$6+(1-$A$8)*Drivers!$B$9*Drivers!$B$10)*Drivers!$B$37)+(Drivers!$E$49*(1+Drivers!$E$50)^0*(1-Drivers!$B$14)^0)*(($A$8*Drivers!$B$5+(1-$A$8)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F17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$8*Drivers!$B$6+(1-$A$8)*Drivers!$B$9*Drivers!$B$10)*Drivers!$B$37)+(Drivers!$E$49*(1+Drivers!$E$50)^0*(1-Drivers!$B$14)^0)*(($A$8*Drivers!$B$5+(1-$A$8)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G17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$8*Drivers!$B$6+(1-$A$8)*Drivers!$B$9*Drivers!$B$10)*Drivers!$B$37)+(Drivers!$E$49*(1+Drivers!$E$50)^0*(1-Drivers!$B$14)^0)*(($A$8*Drivers!$B$5+(1-$A$8)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H17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$8*Drivers!$B$6+(1-$A$8)*Drivers!$B$9*Drivers!$B$10)*Drivers!$B$37)+(Drivers!$E$49*(1+Drivers!$E$50)^0*(1-Drivers!$B$14)^0)*(($A$8*Drivers!$B$5+(1-$A$8)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I17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$8*Drivers!$B$6+(1-$A$8)*Drivers!$B$9*Drivers!$B$10)*Drivers!$B$37)+(Drivers!$E$49*(1+Drivers!$E$50)^0*(1-Drivers!$B$14)^0)*(($A$8*Drivers!$B$5+(1-$A$8)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J17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$8*Drivers!$B$6+(1-$A$8)*Drivers!$B$9*Drivers!$B$10)*Drivers!$B$37)+(Drivers!$E$49*(1+Drivers!$E$50)^0*(1-Drivers!$B$14)^0)*(($A$8*Drivers!$B$5+(1-$A$8)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K17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$8*Drivers!$B$6+(1-$A$8)*Drivers!$B$9*Drivers!$B$10)*Drivers!$B$37)+(Drivers!$E$49*(1+Drivers!$E$50)^0*(1-Drivers!$B$14)^0)*(($A$8*Drivers!$B$5+(1-$A$8)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L17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$8*Drivers!$B$6+(1-$A$8)*Drivers!$B$9*Drivers!$B$10)*Drivers!$B$37)+(Drivers!$E$49*(1+Drivers!$E$50)^0*(1-Drivers!$B$14)^0)*(($A$8*Drivers!$B$5+(1-$A$8)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M17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$8*Drivers!$B$6+(1-$A$8)*Drivers!$B$9*Drivers!$B$10)*Drivers!$B$37)+(Drivers!$E$49*(1+Drivers!$E$50)^0*(1-Drivers!$B$14)^0)*(($A$8*Drivers!$B$5+(1-$A$8)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N17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$8*Drivers!$B$6+(1-$A$8)*Drivers!$B$9*Drivers!$B$10)*Drivers!$B$37)+(Drivers!$E$49*(1+Drivers!$E$50)^0*(1-Drivers!$B$14)^0)*(($A$8*Drivers!$B$5+(1-$A$8)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(($A$8*Drivers!$B$6+(1-$A$8)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$8*Drivers!$B$5+(1-$A$8)*Drivers!$B$9*Drivers!$B$10)*Drivers!$B$36)+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O17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$8*Drivers!$B$6+(1-$A$8)*Drivers!$B$9*Drivers!$B$10)*Drivers!$B$37)+(Drivers!$E$49*(1+Drivers!$E$50)^0*(1-Drivers!$B$14)^0)*(($A$8*Drivers!$B$5+(1-$A$8)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(($A$8*Drivers!$B$6+(1-$A$8)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$8*Drivers!$B$5+(1-$A$8)*Drivers!$B$9*Drivers!$B$10)*Drivers!$B$36)+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(($A$8*Drivers!$B$6+(1-$A$8)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$8*Drivers!$B$5+(1-$A$8)*Drivers!$B$9*Drivers!$B$10)*Drivers!$B$36)+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Q17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$8*Drivers!$B$6+(1-$A$8)*Drivers!$B$9*Drivers!$B$10)*Drivers!$B$37)+(Drivers!$E$49*(1+Drivers!$E$50)^0*(1-Drivers!$B$14)^0)*(($A$8*Drivers!$B$5+(1-$A$8)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R17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$8*Drivers!$B$6+(1-$A$8)*Drivers!$B$9*Drivers!$B$10)*Drivers!$B$37)+(Drivers!$E$49*(1+Drivers!$E$50)^0*(1-Drivers!$B$14)^0)*(($A$8*Drivers!$B$5+(1-$A$8)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S17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$8*Drivers!$B$6+(1-$A$8)*Drivers!$B$9*Drivers!$B$10)*Drivers!$B$37)+(Drivers!$E$49*(1+Drivers!$E$50)^0*(1-Drivers!$B$14)^0)*(($A$8*Drivers!$B$5+(1-$A$8)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T17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$8*Drivers!$B$6+(1-$A$8)*Drivers!$B$9*Drivers!$B$10)*Drivers!$B$37)+(Drivers!$E$49*(1+Drivers!$E$50)^0*(1-Drivers!$B$14)^0)*(($A$8*Drivers!$B$5+(1-$A$8)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U17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$8*Drivers!$B$6+(1-$A$8)*Drivers!$B$9*Drivers!$B$10)*Drivers!$B$37)+(Drivers!$E$49*(1+Drivers!$E$50)^0*(1-Drivers!$B$14)^0)*(($A$8*Drivers!$B$5+(1-$A$8)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V17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$8*Drivers!$B$6+(1-$A$8)*Drivers!$B$9*Drivers!$B$10)*Drivers!$B$37)+(Drivers!$E$49*(1+Drivers!$E$50)^0*(1-Drivers!$B$14)^0)*(($A$8*Drivers!$B$5+(1-$A$8)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W17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$8*Drivers!$B$6+(1-$A$8)*Drivers!$B$9*Drivers!$B$10)*Drivers!$B$37)+(Drivers!$E$49*(1+Drivers!$E$50)^0*(1-Drivers!$B$14)^0)*(($A$8*Drivers!$B$5+(1-$A$8)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X17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$8*Drivers!$B$6+(1-$A$8)*Drivers!$B$9*Drivers!$B$10)*Drivers!$B$37)+(Drivers!$E$49*(1+Drivers!$E$50)^0*(1-Drivers!$B$14)^0)*(($A$8*Drivers!$B$5+(1-$A$8)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Y17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$8*Drivers!$B$6+(1-$A$8)*Drivers!$B$9*Drivers!$B$10)*Drivers!$B$37)+(Drivers!$E$49*(1+Drivers!$E$50)^0*(1-Drivers!$B$14)^0)*(($A$8*Drivers!$B$5+(1-$A$8)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Z17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$8*Drivers!$B$6+(1-$A$8)*Drivers!$B$9*Drivers!$B$10)*Drivers!$B$37)+(Drivers!$E$49*(1+Drivers!$E$50)^0*(1-Drivers!$B$14)^0)*(($A$8*Drivers!$B$5+(1-$A$8)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AA17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$8*Drivers!$B$6+(1-$A$8)*Drivers!$B$9*Drivers!$B$10)*Drivers!$B$37)+(Drivers!$E$49*(1+Drivers!$E$50)^0*(1-Drivers!$B$14)^0)*(($A$8*Drivers!$B$5+(1-$A$8)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(($A$8*Drivers!$B$6+(1-$A$8)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$8*Drivers!$B$5+(1-$A$8)*Drivers!$B$9*Drivers!$B$10)*Drivers!$B$36)+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AB17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$8*Drivers!$B$6+(1-$A$8)*Drivers!$B$9*Drivers!$B$10)*Drivers!$B$37)+(Drivers!$E$49*(1+Drivers!$E$50)^0*(1-Drivers!$B$14)^0)*(($A$8*Drivers!$B$5+(1-$A$8)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(($A$8*Drivers!$B$6+(1-$A$8)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$8*Drivers!$B$5+(1-$A$8)*Drivers!$B$9*Drivers!$B$10)*Drivers!$B$36)+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(($A$8*Drivers!$B$6+(1-$A$8)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$8*Drivers!$B$5+(1-$A$8)*Drivers!$B$9*Drivers!$B$10)*Drivers!$B$36)+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AD17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$8*Drivers!$B$6+(1-$A$8)*Drivers!$B$9*Drivers!$B$10)*Drivers!$B$37)+(Drivers!$E$49*(1+Drivers!$E$50)^0*(1-Drivers!$B$14)^0)*(($A$8*Drivers!$B$5+(1-$A$8)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AE17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$8*Drivers!$B$6+(1-$A$8)*Drivers!$B$9*Drivers!$B$10)*Drivers!$B$37)+(Drivers!$E$49*(1+Drivers!$E$50)^0*(1-Drivers!$B$14)^0)*(($A$8*Drivers!$B$5+(1-$A$8)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AF17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$8*Drivers!$B$6+(1-$A$8)*Drivers!$B$9*Drivers!$B$10)*Drivers!$B$37)+(Drivers!$E$49*(1+Drivers!$E$50)^0*(1-Drivers!$B$14)^0)*(($A$8*Drivers!$B$5+(1-$A$8)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AG17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$8*Drivers!$B$6+(1-$A$8)*Drivers!$B$9*Drivers!$B$10)*Drivers!$B$37)+(Drivers!$E$49*(1+Drivers!$E$50)^0*(1-Drivers!$B$14)^0)*(($A$8*Drivers!$B$5+(1-$A$8)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AH17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$8*Drivers!$B$6+(1-$A$8)*Drivers!$B$9*Drivers!$B$10)*Drivers!$B$37)+(Drivers!$E$49*(1+Drivers!$E$50)^0*(1-Drivers!$B$14)^0)*(($A$8*Drivers!$B$5+(1-$A$8)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AI17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$8*Drivers!$B$6+(1-$A$8)*Drivers!$B$9*Drivers!$B$10)*Drivers!$B$37)+(Drivers!$E$49*(1+Drivers!$E$50)^0*(1-Drivers!$B$14)^0)*(($A$8*Drivers!$B$5+(1-$A$8)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AJ17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$8*Drivers!$B$6+(1-$A$8)*Drivers!$B$9*Drivers!$B$10)*Drivers!$B$37)+(Drivers!$E$49*(1+Drivers!$E$50)^0*(1-Drivers!$B$14)^0)*(($A$8*Drivers!$B$5+(1-$A$8)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AK17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$8*Drivers!$B$6+(1-$A$8)*Drivers!$B$9*Drivers!$B$10)*Drivers!$B$37)+(Drivers!$E$49*(1+Drivers!$E$50)^0*(1-Drivers!$B$14)^0)*(($A$8*Drivers!$B$5+(1-$A$8)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AL17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$8*Drivers!$B$6+(1-$A$8)*Drivers!$B$9*Drivers!$B$10)*Drivers!$B$37)+(Drivers!$E$49*(1+Drivers!$E$50)^0*(1-Drivers!$B$14)^0)*(($A$8*Drivers!$B$5+(1-$A$8)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AM17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$8*Drivers!$B$6+(1-$A$8)*Drivers!$B$9*Drivers!$B$10)*Drivers!$B$37)+(Drivers!$E$49*(1+Drivers!$E$50)^0*(1-Drivers!$B$14)^0)*(($A$8*Drivers!$B$5+(1-$A$8)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AN17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$8*Drivers!$B$6+(1-$A$8)*Drivers!$B$9*Drivers!$B$10)*Drivers!$B$37)+(Drivers!$E$49*(1+Drivers!$E$50)^0*(1-Drivers!$B$14)^0)*(($A$8*Drivers!$B$5+(1-$A$8)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(($A$8*Drivers!$B$6+(1-$A$8)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$8*Drivers!$B$5+(1-$A$8)*Drivers!$B$9*Drivers!$B$10)*Drivers!$B$36)+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AO17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$8*Drivers!$B$6+(1-$A$8)*Drivers!$B$9*Drivers!$B$10)*Drivers!$B$37)+(Drivers!$E$49*(1+Drivers!$E$50)^0*(1-Drivers!$B$14)^0)*(($A$8*Drivers!$B$5+(1-$A$8)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(($A$8*Drivers!$B$6+(1-$A$8)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$8*Drivers!$B$5+(1-$A$8)*Drivers!$B$9*Drivers!$B$10)*Drivers!$B$36)+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(($A$8*Drivers!$B$6+(1-$A$8)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$8*Drivers!$B$5+(1-$A$8)*Drivers!$B$9*Drivers!$B$10)*Drivers!$B$36)+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AQ17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$8*Drivers!$B$6+(1-$A$8)*Drivers!$B$9*Drivers!$B$10)*Drivers!$B$37)+(Drivers!$E$49*(1+Drivers!$E$50)^0*(1-Drivers!$B$14)^0)*(($A$8*Drivers!$B$5+(1-$A$8)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AR17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$8*Drivers!$B$6+(1-$A$8)*Drivers!$B$9*Drivers!$B$10)*Drivers!$B$37)+(Drivers!$E$49*(1+Drivers!$E$50)^0*(1-Drivers!$B$14)^0)*(($A$8*Drivers!$B$5+(1-$A$8)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AS17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$8*Drivers!$B$6+(1-$A$8)*Drivers!$B$9*Drivers!$B$10)*Drivers!$B$37)+(Drivers!$E$49*(1+Drivers!$E$50)^0*(1-Drivers!$B$14)^0)*(($A$8*Drivers!$B$5+(1-$A$8)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AT17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$8*Drivers!$B$6+(1-$A$8)*Drivers!$B$9*Drivers!$B$10)*Drivers!$B$37)+(Drivers!$E$49*(1+Drivers!$E$50)^0*(1-Drivers!$B$14)^0)*(($A$8*Drivers!$B$5+(1-$A$8)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AU17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$8*Drivers!$B$6+(1-$A$8)*Drivers!$B$9*Drivers!$B$10)*Drivers!$B$37)+(Drivers!$E$49*(1+Drivers!$E$50)^0*(1-Drivers!$B$14)^0)*(($A$8*Drivers!$B$5+(1-$A$8)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AV17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$8*Drivers!$B$6+(1-$A$8)*Drivers!$B$9*Drivers!$B$10)*Drivers!$B$37)+(Drivers!$E$49*(1+Drivers!$E$50)^0*(1-Drivers!$B$14)^0)*(($A$8*Drivers!$B$5+(1-$A$8)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AW17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$8*Drivers!$B$6+(1-$A$8)*Drivers!$B$9*Drivers!$B$10)*Drivers!$B$37)+(Drivers!$E$49*(1+Drivers!$E$50)^0*(1-Drivers!$B$14)^0)*(($A$8*Drivers!$B$5+(1-$A$8)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AX17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$8*Drivers!$B$6+(1-$A$8)*Drivers!$B$9*Drivers!$B$10)*Drivers!$B$37)+(Drivers!$E$49*(1+Drivers!$E$50)^0*(1-Drivers!$B$14)^0)*(($A$8*Drivers!$B$5+(1-$A$8)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AY17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$8*Drivers!$B$6+(1-$A$8)*Drivers!$B$9*Drivers!$B$10)*Drivers!$B$37)+(Drivers!$E$49*(1+Drivers!$E$50)^0*(1-Drivers!$B$14)^0)*(($A$8*Drivers!$B$5+(1-$A$8)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AZ17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$8*Drivers!$B$6+(1-$A$8)*Drivers!$B$9*Drivers!$B$10)*Drivers!$B$37)+(Drivers!$E$49*(1+Drivers!$E$50)^0*(1-Drivers!$B$14)^0)*(($A$8*Drivers!$B$5+(1-$A$8)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BA17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$8*Drivers!$B$6+(1-$A$8)*Drivers!$B$9*Drivers!$B$10)*Drivers!$B$37)+(Drivers!$E$49*(1+Drivers!$E$50)^0*(1-Drivers!$B$14)^0)*(($A$8*Drivers!$B$5+(1-$A$8)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(($A$8*Drivers!$B$6+(1-$A$8)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$8*Drivers!$B$5+(1-$A$8)*Drivers!$B$9*Drivers!$B$10)*Drivers!$B$36)+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BB17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$8*Drivers!$B$6+(1-$A$8)*Drivers!$B$9*Drivers!$B$10)*Drivers!$B$37)+(Drivers!$E$49*(1+Drivers!$E$50)^0*(1-Drivers!$B$14)^0)*(($A$8*Drivers!$B$5+(1-$A$8)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(($A$8*Drivers!$B$6+(1-$A$8)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$8*Drivers!$B$5+(1-$A$8)*Drivers!$B$9*Drivers!$B$10)*Drivers!$B$36)+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(($A$8*Drivers!$B$6+(1-$A$8)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$8*Drivers!$B$5+(1-$A$8)*Drivers!$B$9*Drivers!$B$10)*Drivers!$B$36)+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BD17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$8*Drivers!$B$6+(1-$A$8)*Drivers!$B$9*Drivers!$B$10)*Drivers!$B$37)+(Drivers!$E$49*(1+Drivers!$E$50)^0*(1-Drivers!$B$14)^0)*(($A$8*Drivers!$B$5+(1-$A$8)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BE17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$8*Drivers!$B$6+(1-$A$8)*Drivers!$B$9*Drivers!$B$10)*Drivers!$B$37)+(Drivers!$E$49*(1+Drivers!$E$50)^0*(1-Drivers!$B$14)^0)*(($A$8*Drivers!$B$5+(1-$A$8)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BF17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$8*Drivers!$B$6+(1-$A$8)*Drivers!$B$9*Drivers!$B$10)*Drivers!$B$37)+(Drivers!$E$49*(1+Drivers!$E$50)^0*(1-Drivers!$B$14)^0)*(($A$8*Drivers!$B$5+(1-$A$8)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BG17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$8*Drivers!$B$6+(1-$A$8)*Drivers!$B$9*Drivers!$B$10)*Drivers!$B$37)+(Drivers!$E$49*(1+Drivers!$E$50)^0*(1-Drivers!$B$14)^0)*(($A$8*Drivers!$B$5+(1-$A$8)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BH17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$8*Drivers!$B$6+(1-$A$8)*Drivers!$B$9*Drivers!$B$10)*Drivers!$B$37)+(Drivers!$E$49*(1+Drivers!$E$50)^0*(1-Drivers!$B$14)^0)*(($A$8*Drivers!$B$5+(1-$A$8)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BI17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$8*Drivers!$B$6+(1-$A$8)*Drivers!$B$9*Drivers!$B$10)*Drivers!$B$37)+(Drivers!$E$49*(1+Drivers!$E$50)^0*(1-Drivers!$B$14)^0)*(($A$8*Drivers!$B$5+(1-$A$8)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BJ17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$8*Drivers!$B$6+(1-$A$8)*Drivers!$B$9*Drivers!$B$10)*Drivers!$B$37)+(Drivers!$E$49*(1+Drivers!$E$50)^0*(1-Drivers!$B$14)^0)*(($A$8*Drivers!$B$5+(1-$A$8)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BK17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$8*Drivers!$B$6+(1-$A$8)*Drivers!$B$9*Drivers!$B$10)*Drivers!$B$37)+(Drivers!$E$49*(1+Drivers!$E$50)^0*(1-Drivers!$B$14)^0)*(($A$8*Drivers!$B$5+(1-$A$8)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BL17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$8*Drivers!$B$6+(1-$A$8)*Drivers!$B$9*Drivers!$B$10)*Drivers!$B$37)+(Drivers!$E$49*(1+Drivers!$E$50)^0*(1-Drivers!$B$14)^0)*(($A$8*Drivers!$B$5+(1-$A$8)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BM17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$8*Drivers!$B$6+(1-$A$8)*Drivers!$B$9*Drivers!$B$10)*Drivers!$B$37)+(Drivers!$E$49*(1+Drivers!$E$50)^0*(1-Drivers!$B$14)^0)*(($A$8*Drivers!$B$5+(1-$A$8)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BN17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$8*Drivers!$B$6+(1-$A$8)*Drivers!$B$9*Drivers!$B$10)*Drivers!$B$37)+(Drivers!$E$49*(1+Drivers!$E$50)^0*(1-Drivers!$B$14)^0)*(($A$8*Drivers!$B$5+(1-$A$8)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(($A$8*Drivers!$B$6+(1-$A$8)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$8*Drivers!$B$5+(1-$A$8)*Drivers!$B$9*Drivers!$B$10)*Drivers!$B$36)+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BO17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$8*Drivers!$B$6+(1-$A$8)*Drivers!$B$9*Drivers!$B$10)*Drivers!$B$37)+(Drivers!$E$49*(1+Drivers!$E$50)^0*(1-Drivers!$B$14)^0)*(($A$8*Drivers!$B$5+(1-$A$8)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(($A$8*Drivers!$B$6+(1-$A$8)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$8*Drivers!$B$5+(1-$A$8)*Drivers!$B$9*Drivers!$B$10)*Drivers!$B$36)+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(($A$8*Drivers!$B$6+(1-$A$8)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$8*Drivers!$B$5+(1-$A$8)*Drivers!$B$9*Drivers!$B$10)*Drivers!$B$36)+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BQ17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$8*Drivers!$B$6+(1-$A$8)*Drivers!$B$9*Drivers!$B$10)*Drivers!$B$37)+(Drivers!$E$49*(1+Drivers!$E$50)^0*(1-Drivers!$B$14)^0)*(($A$8*Drivers!$B$5+(1-$A$8)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BR17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$8*Drivers!$B$6+(1-$A$8)*Drivers!$B$9*Drivers!$B$10)*Drivers!$B$37)+(Drivers!$E$49*(1+Drivers!$E$50)^0*(1-Drivers!$B$14)^0)*(($A$8*Drivers!$B$5+(1-$A$8)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BS17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$8*Drivers!$B$6+(1-$A$8)*Drivers!$B$9*Drivers!$B$10)*Drivers!$B$37)+(Drivers!$E$49*(1+Drivers!$E$50)^0*(1-Drivers!$B$14)^0)*(($A$8*Drivers!$B$5+(1-$A$8)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BT17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$8*Drivers!$B$6+(1-$A$8)*Drivers!$B$9*Drivers!$B$10)*Drivers!$B$37)+(Drivers!$E$49*(1+Drivers!$E$50)^0*(1-Drivers!$B$14)^0)*(($A$8*Drivers!$B$5+(1-$A$8)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BU17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$8*Drivers!$B$6+(1-$A$8)*Drivers!$B$9*Drivers!$B$10)*Drivers!$B$37)+(Drivers!$E$49*(1+Drivers!$E$50)^0*(1-Drivers!$B$14)^0)*(($A$8*Drivers!$B$5+(1-$A$8)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BV17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$8*Drivers!$B$6+(1-$A$8)*Drivers!$B$9*Drivers!$B$10)*Drivers!$B$37)+(Drivers!$E$49*(1+Drivers!$E$50)^0*(1-Drivers!$B$14)^0)*(($A$8*Drivers!$B$5+(1-$A$8)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BW17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$8*Drivers!$B$6+(1-$A$8)*Drivers!$B$9*Drivers!$B$10)*Drivers!$B$37)+(Drivers!$E$49*(1+Drivers!$E$50)^0*(1-Drivers!$B$14)^0)*(($A$8*Drivers!$B$5+(1-$A$8)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BX17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$8*Drivers!$B$6+(1-$A$8)*Drivers!$B$9*Drivers!$B$10)*Drivers!$B$37)+(Drivers!$E$49*(1+Drivers!$E$50)^0*(1-Drivers!$B$14)^0)*(($A$8*Drivers!$B$5+(1-$A$8)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BY17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$8*Drivers!$B$6+(1-$A$8)*Drivers!$B$9*Drivers!$B$10)*Drivers!$B$37)+(Drivers!$E$49*(1+Drivers!$E$50)^0*(1-Drivers!$B$14)^0)*(($A$8*Drivers!$B$5+(1-$A$8)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BZ17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$8*Drivers!$B$6+(1-$A$8)*Drivers!$B$9*Drivers!$B$10)*Drivers!$B$37)+(Drivers!$E$49*(1+Drivers!$E$50)^0*(1-Drivers!$B$14)^0)*(($A$8*Drivers!$B$5+(1-$A$8)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CA17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$8*Drivers!$B$6+(1-$A$8)*Drivers!$B$9*Drivers!$B$10)*Drivers!$B$37)+(Drivers!$E$49*(1+Drivers!$E$50)^0*(1-Drivers!$B$14)^0)*(($A$8*Drivers!$B$5+(1-$A$8)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(($A$8*Drivers!$B$6+(1-$A$8)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$8*Drivers!$B$5+(1-$A$8)*Drivers!$B$9*Drivers!$B$10)*Drivers!$B$36)+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CB17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$8*Drivers!$B$6+(1-$A$8)*Drivers!$B$9*Drivers!$B$10)*Drivers!$B$37)+(Drivers!$E$49*(1+Drivers!$E$50)^0*(1-Drivers!$B$14)^0)*(($A$8*Drivers!$B$5+(1-$A$8)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(($A$8*Drivers!$B$6+(1-$A$8)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$8*Drivers!$B$5+(1-$A$8)*Drivers!$B$9*Drivers!$B$10)*Drivers!$B$36)+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(($A$8*Drivers!$B$6+(1-$A$8)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$8*Drivers!$B$5+(1-$A$8)*Drivers!$B$9*Drivers!$B$10)*Drivers!$B$36)+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CD17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$8*Drivers!$B$6+(1-$A$8)*Drivers!$B$9*Drivers!$B$10)*Drivers!$B$37)+(Drivers!$E$49*(1+Drivers!$E$50)^0*(1-Drivers!$B$14)^0)*(($A$8*Drivers!$B$5+(1-$A$8)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CE17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$8*Drivers!$B$6+(1-$A$8)*Drivers!$B$9*Drivers!$B$10)*Drivers!$B$37)+(Drivers!$E$49*(1+Drivers!$E$50)^0*(1-Drivers!$B$14)^0)*(($A$8*Drivers!$B$5+(1-$A$8)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CF17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$8*Drivers!$B$6+(1-$A$8)*Drivers!$B$9*Drivers!$B$10)*Drivers!$B$37)+(Drivers!$E$49*(1+Drivers!$E$50)^0*(1-Drivers!$B$14)^0)*(($A$8*Drivers!$B$5+(1-$A$8)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CG17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$8*Drivers!$B$6+(1-$A$8)*Drivers!$B$9*Drivers!$B$10)*Drivers!$B$37)+(Drivers!$E$49*(1+Drivers!$E$50)^0*(1-Drivers!$B$14)^0)*(($A$8*Drivers!$B$5+(1-$A$8)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CH17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$8*Drivers!$B$6+(1-$A$8)*Drivers!$B$9*Drivers!$B$10)*Drivers!$B$37)+(Drivers!$E$49*(1+Drivers!$E$50)^0*(1-Drivers!$B$14)^0)*(($A$8*Drivers!$B$5+(1-$A$8)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CI17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$8*Drivers!$B$6+(1-$A$8)*Drivers!$B$9*Drivers!$B$10)*Drivers!$B$37)+(Drivers!$E$49*(1+Drivers!$E$50)^0*(1-Drivers!$B$14)^0)*(($A$8*Drivers!$B$5+(1-$A$8)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CJ17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$8*Drivers!$B$6+(1-$A$8)*Drivers!$B$9*Drivers!$B$10)*Drivers!$B$37)+(Drivers!$E$49*(1+Drivers!$E$50)^0*(1-Drivers!$B$14)^0)*(($A$8*Drivers!$B$5+(1-$A$8)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CK17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$8*Drivers!$B$6+(1-$A$8)*Drivers!$B$9*Drivers!$B$10)*Drivers!$B$37)+(Drivers!$E$49*(1+Drivers!$E$50)^0*(1-Drivers!$B$14)^0)*(($A$8*Drivers!$B$5+(1-$A$8)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CL17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$8*Drivers!$B$6+(1-$A$8)*Drivers!$B$9*Drivers!$B$10)*Drivers!$B$37)+(Drivers!$E$49*(1+Drivers!$E$50)^0*(1-Drivers!$B$14)^0)*(($A$8*Drivers!$B$5+(1-$A$8)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CM17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$8*Drivers!$B$6+(1-$A$8)*Drivers!$B$9*Drivers!$B$10)*Drivers!$B$37)+(Drivers!$E$49*(1+Drivers!$E$50)^0*(1-Drivers!$B$14)^0)*(($A$8*Drivers!$B$5+(1-$A$8)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CN17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$8*Drivers!$B$6+(1-$A$8)*Drivers!$B$9*Drivers!$B$10)*Drivers!$B$37)+(Drivers!$E$49*(1+Drivers!$E$50)^0*(1-Drivers!$B$14)^0)*(($A$8*Drivers!$B$5+(1-$A$8)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(($A$8*Drivers!$B$6+(1-$A$8)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$8*Drivers!$B$5+(1-$A$8)*Drivers!$B$9*Drivers!$B$10)*Drivers!$B$36)+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CO17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$8*Drivers!$B$6+(1-$A$8)*Drivers!$B$9*Drivers!$B$10)*Drivers!$B$37)+(Drivers!$E$49*(1+Drivers!$E$50)^0*(1-Drivers!$B$14)^0)*(($A$8*Drivers!$B$5+(1-$A$8)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$8*Drivers!$B$6+(1-$A$8)*Drivers!$B$9*Drivers!$B$10)*Drivers!$B$37)+(Drivers!$E$49*(1+Drivers!$E$50)^0*(1-Drivers!$B$14)^1+Drivers!$E$49*(1+Drivers!$E$50)^1*(1-Drivers!$B$14)^0)*(($A$8*Drivers!$B$5+(1-$A$8)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$8*Drivers!$B$6+(1-$A$8)*Drivers!$B$9*Drivers!$B$10)*Drivers!$B$37)+(Drivers!$E$49*(1+Drivers!$E$50)^0*(1-Drivers!$B$14)^2+Drivers!$E$49*(1+Drivers!$E$50)^1*(1-Drivers!$B$14)^1+Drivers!$E$49*(1+Drivers!$E$50)^2*(1-Drivers!$B$14)^0)*(($A$8*Drivers!$B$5+(1-$A$8)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$8*Drivers!$B$6+(1-$A$8)*Drivers!$B$9*Drivers!$B$10)*Drivers!$B$37)+(Drivers!$E$49*(1+Drivers!$E$50)^0*(1-Drivers!$B$14)^3+Drivers!$E$49*(1+Drivers!$E$50)^1*(1-Drivers!$B$14)^2+Drivers!$E$49*(1+Drivers!$E$50)^2*(1-Drivers!$B$14)^1+Drivers!$E$49*(1+Drivers!$E$50)^3*(1-Drivers!$B$14)^0)*(($A$8*Drivers!$B$5+(1-$A$8)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$8*Drivers!$B$6+(1-$A$8)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$8*Drivers!$B$5+(1-$A$8)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$8*Drivers!$B$6+(1-$A$8)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$8*Drivers!$B$5+(1-$A$8)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$8*Drivers!$B$6+(1-$A$8)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$8*Drivers!$B$5+(1-$A$8)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$8*Drivers!$B$6+(1-$A$8)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$8*Drivers!$B$5+(1-$A$8)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$8*Drivers!$B$6+(1-$A$8)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$8*Drivers!$B$5+(1-$A$8)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$8*Drivers!$B$6+(1-$A$8)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$8*Drivers!$B$5+(1-$A$8)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(($A$8*Drivers!$B$6+(1-$A$8)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$8*Drivers!$B$5+(1-$A$8)*Drivers!$B$9*Drivers!$B$10)*Drivers!$B$36)+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(($A$8*Drivers!$B$6+(1-$A$8)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$8*Drivers!$B$5+(1-$A$8)*Drivers!$B$9*Drivers!$B$10)*Drivers!$B$36)+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</row>
    <row r="18">
      <c r="D18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$9*Drivers!$B$6+(1-$A$9)*Drivers!$B$9*Drivers!$B$10)*Drivers!$B$37)+(Drivers!$E$49*(1+Drivers!$E$50)^0*(1-Drivers!$B$14)^0)*(($A$9*Drivers!$B$5+(1-$A$9)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E18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$9*Drivers!$B$6+(1-$A$9)*Drivers!$B$9*Drivers!$B$10)*Drivers!$B$37)+(Drivers!$E$49*(1+Drivers!$E$50)^0*(1-Drivers!$B$14)^0)*(($A$9*Drivers!$B$5+(1-$A$9)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F18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$9*Drivers!$B$6+(1-$A$9)*Drivers!$B$9*Drivers!$B$10)*Drivers!$B$37)+(Drivers!$E$49*(1+Drivers!$E$50)^0*(1-Drivers!$B$14)^0)*(($A$9*Drivers!$B$5+(1-$A$9)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G18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$9*Drivers!$B$6+(1-$A$9)*Drivers!$B$9*Drivers!$B$10)*Drivers!$B$37)+(Drivers!$E$49*(1+Drivers!$E$50)^0*(1-Drivers!$B$14)^0)*(($A$9*Drivers!$B$5+(1-$A$9)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H18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$9*Drivers!$B$6+(1-$A$9)*Drivers!$B$9*Drivers!$B$10)*Drivers!$B$37)+(Drivers!$E$49*(1+Drivers!$E$50)^0*(1-Drivers!$B$14)^0)*(($A$9*Drivers!$B$5+(1-$A$9)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I18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$9*Drivers!$B$6+(1-$A$9)*Drivers!$B$9*Drivers!$B$10)*Drivers!$B$37)+(Drivers!$E$49*(1+Drivers!$E$50)^0*(1-Drivers!$B$14)^0)*(($A$9*Drivers!$B$5+(1-$A$9)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J18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$9*Drivers!$B$6+(1-$A$9)*Drivers!$B$9*Drivers!$B$10)*Drivers!$B$37)+(Drivers!$E$49*(1+Drivers!$E$50)^0*(1-Drivers!$B$14)^0)*(($A$9*Drivers!$B$5+(1-$A$9)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K18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$9*Drivers!$B$6+(1-$A$9)*Drivers!$B$9*Drivers!$B$10)*Drivers!$B$37)+(Drivers!$E$49*(1+Drivers!$E$50)^0*(1-Drivers!$B$14)^0)*(($A$9*Drivers!$B$5+(1-$A$9)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L18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$9*Drivers!$B$6+(1-$A$9)*Drivers!$B$9*Drivers!$B$10)*Drivers!$B$37)+(Drivers!$E$49*(1+Drivers!$E$50)^0*(1-Drivers!$B$14)^0)*(($A$9*Drivers!$B$5+(1-$A$9)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M18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$9*Drivers!$B$6+(1-$A$9)*Drivers!$B$9*Drivers!$B$10)*Drivers!$B$37)+(Drivers!$E$49*(1+Drivers!$E$50)^0*(1-Drivers!$B$14)^0)*(($A$9*Drivers!$B$5+(1-$A$9)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N18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$9*Drivers!$B$6+(1-$A$9)*Drivers!$B$9*Drivers!$B$10)*Drivers!$B$37)+(Drivers!$E$49*(1+Drivers!$E$50)^0*(1-Drivers!$B$14)^0)*(($A$9*Drivers!$B$5+(1-$A$9)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(($A$9*Drivers!$B$6+(1-$A$9)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$9*Drivers!$B$5+(1-$A$9)*Drivers!$B$9*Drivers!$B$10)*Drivers!$B$36)+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O18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$9*Drivers!$B$6+(1-$A$9)*Drivers!$B$9*Drivers!$B$10)*Drivers!$B$37)+(Drivers!$E$49*(1+Drivers!$E$50)^0*(1-Drivers!$B$14)^0)*(($A$9*Drivers!$B$5+(1-$A$9)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(($A$9*Drivers!$B$6+(1-$A$9)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$9*Drivers!$B$5+(1-$A$9)*Drivers!$B$9*Drivers!$B$10)*Drivers!$B$36)+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(($A$9*Drivers!$B$6+(1-$A$9)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$9*Drivers!$B$5+(1-$A$9)*Drivers!$B$9*Drivers!$B$10)*Drivers!$B$36)+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Q18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$9*Drivers!$B$6+(1-$A$9)*Drivers!$B$9*Drivers!$B$10)*Drivers!$B$37)+(Drivers!$E$49*(1+Drivers!$E$50)^0*(1-Drivers!$B$14)^0)*(($A$9*Drivers!$B$5+(1-$A$9)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R18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$9*Drivers!$B$6+(1-$A$9)*Drivers!$B$9*Drivers!$B$10)*Drivers!$B$37)+(Drivers!$E$49*(1+Drivers!$E$50)^0*(1-Drivers!$B$14)^0)*(($A$9*Drivers!$B$5+(1-$A$9)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S18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$9*Drivers!$B$6+(1-$A$9)*Drivers!$B$9*Drivers!$B$10)*Drivers!$B$37)+(Drivers!$E$49*(1+Drivers!$E$50)^0*(1-Drivers!$B$14)^0)*(($A$9*Drivers!$B$5+(1-$A$9)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T18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$9*Drivers!$B$6+(1-$A$9)*Drivers!$B$9*Drivers!$B$10)*Drivers!$B$37)+(Drivers!$E$49*(1+Drivers!$E$50)^0*(1-Drivers!$B$14)^0)*(($A$9*Drivers!$B$5+(1-$A$9)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U18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$9*Drivers!$B$6+(1-$A$9)*Drivers!$B$9*Drivers!$B$10)*Drivers!$B$37)+(Drivers!$E$49*(1+Drivers!$E$50)^0*(1-Drivers!$B$14)^0)*(($A$9*Drivers!$B$5+(1-$A$9)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V18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$9*Drivers!$B$6+(1-$A$9)*Drivers!$B$9*Drivers!$B$10)*Drivers!$B$37)+(Drivers!$E$49*(1+Drivers!$E$50)^0*(1-Drivers!$B$14)^0)*(($A$9*Drivers!$B$5+(1-$A$9)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W18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$9*Drivers!$B$6+(1-$A$9)*Drivers!$B$9*Drivers!$B$10)*Drivers!$B$37)+(Drivers!$E$49*(1+Drivers!$E$50)^0*(1-Drivers!$B$14)^0)*(($A$9*Drivers!$B$5+(1-$A$9)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X18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$9*Drivers!$B$6+(1-$A$9)*Drivers!$B$9*Drivers!$B$10)*Drivers!$B$37)+(Drivers!$E$49*(1+Drivers!$E$50)^0*(1-Drivers!$B$14)^0)*(($A$9*Drivers!$B$5+(1-$A$9)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Y18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$9*Drivers!$B$6+(1-$A$9)*Drivers!$B$9*Drivers!$B$10)*Drivers!$B$37)+(Drivers!$E$49*(1+Drivers!$E$50)^0*(1-Drivers!$B$14)^0)*(($A$9*Drivers!$B$5+(1-$A$9)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Z18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$9*Drivers!$B$6+(1-$A$9)*Drivers!$B$9*Drivers!$B$10)*Drivers!$B$37)+(Drivers!$E$49*(1+Drivers!$E$50)^0*(1-Drivers!$B$14)^0)*(($A$9*Drivers!$B$5+(1-$A$9)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AA18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$9*Drivers!$B$6+(1-$A$9)*Drivers!$B$9*Drivers!$B$10)*Drivers!$B$37)+(Drivers!$E$49*(1+Drivers!$E$50)^0*(1-Drivers!$B$14)^0)*(($A$9*Drivers!$B$5+(1-$A$9)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(($A$9*Drivers!$B$6+(1-$A$9)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$9*Drivers!$B$5+(1-$A$9)*Drivers!$B$9*Drivers!$B$10)*Drivers!$B$36)+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AB18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$9*Drivers!$B$6+(1-$A$9)*Drivers!$B$9*Drivers!$B$10)*Drivers!$B$37)+(Drivers!$E$49*(1+Drivers!$E$50)^0*(1-Drivers!$B$14)^0)*(($A$9*Drivers!$B$5+(1-$A$9)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(($A$9*Drivers!$B$6+(1-$A$9)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$9*Drivers!$B$5+(1-$A$9)*Drivers!$B$9*Drivers!$B$10)*Drivers!$B$36)+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(($A$9*Drivers!$B$6+(1-$A$9)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$9*Drivers!$B$5+(1-$A$9)*Drivers!$B$9*Drivers!$B$10)*Drivers!$B$36)+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AD18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$9*Drivers!$B$6+(1-$A$9)*Drivers!$B$9*Drivers!$B$10)*Drivers!$B$37)+(Drivers!$E$49*(1+Drivers!$E$50)^0*(1-Drivers!$B$14)^0)*(($A$9*Drivers!$B$5+(1-$A$9)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AE18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$9*Drivers!$B$6+(1-$A$9)*Drivers!$B$9*Drivers!$B$10)*Drivers!$B$37)+(Drivers!$E$49*(1+Drivers!$E$50)^0*(1-Drivers!$B$14)^0)*(($A$9*Drivers!$B$5+(1-$A$9)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AF18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$9*Drivers!$B$6+(1-$A$9)*Drivers!$B$9*Drivers!$B$10)*Drivers!$B$37)+(Drivers!$E$49*(1+Drivers!$E$50)^0*(1-Drivers!$B$14)^0)*(($A$9*Drivers!$B$5+(1-$A$9)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AG18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$9*Drivers!$B$6+(1-$A$9)*Drivers!$B$9*Drivers!$B$10)*Drivers!$B$37)+(Drivers!$E$49*(1+Drivers!$E$50)^0*(1-Drivers!$B$14)^0)*(($A$9*Drivers!$B$5+(1-$A$9)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AH18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$9*Drivers!$B$6+(1-$A$9)*Drivers!$B$9*Drivers!$B$10)*Drivers!$B$37)+(Drivers!$E$49*(1+Drivers!$E$50)^0*(1-Drivers!$B$14)^0)*(($A$9*Drivers!$B$5+(1-$A$9)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AI18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$9*Drivers!$B$6+(1-$A$9)*Drivers!$B$9*Drivers!$B$10)*Drivers!$B$37)+(Drivers!$E$49*(1+Drivers!$E$50)^0*(1-Drivers!$B$14)^0)*(($A$9*Drivers!$B$5+(1-$A$9)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AJ18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$9*Drivers!$B$6+(1-$A$9)*Drivers!$B$9*Drivers!$B$10)*Drivers!$B$37)+(Drivers!$E$49*(1+Drivers!$E$50)^0*(1-Drivers!$B$14)^0)*(($A$9*Drivers!$B$5+(1-$A$9)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AK18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$9*Drivers!$B$6+(1-$A$9)*Drivers!$B$9*Drivers!$B$10)*Drivers!$B$37)+(Drivers!$E$49*(1+Drivers!$E$50)^0*(1-Drivers!$B$14)^0)*(($A$9*Drivers!$B$5+(1-$A$9)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AL18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$9*Drivers!$B$6+(1-$A$9)*Drivers!$B$9*Drivers!$B$10)*Drivers!$B$37)+(Drivers!$E$49*(1+Drivers!$E$50)^0*(1-Drivers!$B$14)^0)*(($A$9*Drivers!$B$5+(1-$A$9)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AM18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$9*Drivers!$B$6+(1-$A$9)*Drivers!$B$9*Drivers!$B$10)*Drivers!$B$37)+(Drivers!$E$49*(1+Drivers!$E$50)^0*(1-Drivers!$B$14)^0)*(($A$9*Drivers!$B$5+(1-$A$9)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AN18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$9*Drivers!$B$6+(1-$A$9)*Drivers!$B$9*Drivers!$B$10)*Drivers!$B$37)+(Drivers!$E$49*(1+Drivers!$E$50)^0*(1-Drivers!$B$14)^0)*(($A$9*Drivers!$B$5+(1-$A$9)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(($A$9*Drivers!$B$6+(1-$A$9)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$9*Drivers!$B$5+(1-$A$9)*Drivers!$B$9*Drivers!$B$10)*Drivers!$B$36)+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AO18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$9*Drivers!$B$6+(1-$A$9)*Drivers!$B$9*Drivers!$B$10)*Drivers!$B$37)+(Drivers!$E$49*(1+Drivers!$E$50)^0*(1-Drivers!$B$14)^0)*(($A$9*Drivers!$B$5+(1-$A$9)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(($A$9*Drivers!$B$6+(1-$A$9)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$9*Drivers!$B$5+(1-$A$9)*Drivers!$B$9*Drivers!$B$10)*Drivers!$B$36)+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(($A$9*Drivers!$B$6+(1-$A$9)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$9*Drivers!$B$5+(1-$A$9)*Drivers!$B$9*Drivers!$B$10)*Drivers!$B$36)+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AQ18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$9*Drivers!$B$6+(1-$A$9)*Drivers!$B$9*Drivers!$B$10)*Drivers!$B$37)+(Drivers!$E$49*(1+Drivers!$E$50)^0*(1-Drivers!$B$14)^0)*(($A$9*Drivers!$B$5+(1-$A$9)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AR18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$9*Drivers!$B$6+(1-$A$9)*Drivers!$B$9*Drivers!$B$10)*Drivers!$B$37)+(Drivers!$E$49*(1+Drivers!$E$50)^0*(1-Drivers!$B$14)^0)*(($A$9*Drivers!$B$5+(1-$A$9)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AS18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$9*Drivers!$B$6+(1-$A$9)*Drivers!$B$9*Drivers!$B$10)*Drivers!$B$37)+(Drivers!$E$49*(1+Drivers!$E$50)^0*(1-Drivers!$B$14)^0)*(($A$9*Drivers!$B$5+(1-$A$9)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AT18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$9*Drivers!$B$6+(1-$A$9)*Drivers!$B$9*Drivers!$B$10)*Drivers!$B$37)+(Drivers!$E$49*(1+Drivers!$E$50)^0*(1-Drivers!$B$14)^0)*(($A$9*Drivers!$B$5+(1-$A$9)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AU18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$9*Drivers!$B$6+(1-$A$9)*Drivers!$B$9*Drivers!$B$10)*Drivers!$B$37)+(Drivers!$E$49*(1+Drivers!$E$50)^0*(1-Drivers!$B$14)^0)*(($A$9*Drivers!$B$5+(1-$A$9)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AV18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$9*Drivers!$B$6+(1-$A$9)*Drivers!$B$9*Drivers!$B$10)*Drivers!$B$37)+(Drivers!$E$49*(1+Drivers!$E$50)^0*(1-Drivers!$B$14)^0)*(($A$9*Drivers!$B$5+(1-$A$9)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AW18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$9*Drivers!$B$6+(1-$A$9)*Drivers!$B$9*Drivers!$B$10)*Drivers!$B$37)+(Drivers!$E$49*(1+Drivers!$E$50)^0*(1-Drivers!$B$14)^0)*(($A$9*Drivers!$B$5+(1-$A$9)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AX18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$9*Drivers!$B$6+(1-$A$9)*Drivers!$B$9*Drivers!$B$10)*Drivers!$B$37)+(Drivers!$E$49*(1+Drivers!$E$50)^0*(1-Drivers!$B$14)^0)*(($A$9*Drivers!$B$5+(1-$A$9)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AY18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$9*Drivers!$B$6+(1-$A$9)*Drivers!$B$9*Drivers!$B$10)*Drivers!$B$37)+(Drivers!$E$49*(1+Drivers!$E$50)^0*(1-Drivers!$B$14)^0)*(($A$9*Drivers!$B$5+(1-$A$9)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AZ18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$9*Drivers!$B$6+(1-$A$9)*Drivers!$B$9*Drivers!$B$10)*Drivers!$B$37)+(Drivers!$E$49*(1+Drivers!$E$50)^0*(1-Drivers!$B$14)^0)*(($A$9*Drivers!$B$5+(1-$A$9)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BA18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$9*Drivers!$B$6+(1-$A$9)*Drivers!$B$9*Drivers!$B$10)*Drivers!$B$37)+(Drivers!$E$49*(1+Drivers!$E$50)^0*(1-Drivers!$B$14)^0)*(($A$9*Drivers!$B$5+(1-$A$9)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(($A$9*Drivers!$B$6+(1-$A$9)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$9*Drivers!$B$5+(1-$A$9)*Drivers!$B$9*Drivers!$B$10)*Drivers!$B$36)+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BB18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$9*Drivers!$B$6+(1-$A$9)*Drivers!$B$9*Drivers!$B$10)*Drivers!$B$37)+(Drivers!$E$49*(1+Drivers!$E$50)^0*(1-Drivers!$B$14)^0)*(($A$9*Drivers!$B$5+(1-$A$9)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(($A$9*Drivers!$B$6+(1-$A$9)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$9*Drivers!$B$5+(1-$A$9)*Drivers!$B$9*Drivers!$B$10)*Drivers!$B$36)+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(($A$9*Drivers!$B$6+(1-$A$9)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$9*Drivers!$B$5+(1-$A$9)*Drivers!$B$9*Drivers!$B$10)*Drivers!$B$36)+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BD18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$9*Drivers!$B$6+(1-$A$9)*Drivers!$B$9*Drivers!$B$10)*Drivers!$B$37)+(Drivers!$E$49*(1+Drivers!$E$50)^0*(1-Drivers!$B$14)^0)*(($A$9*Drivers!$B$5+(1-$A$9)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BE18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$9*Drivers!$B$6+(1-$A$9)*Drivers!$B$9*Drivers!$B$10)*Drivers!$B$37)+(Drivers!$E$49*(1+Drivers!$E$50)^0*(1-Drivers!$B$14)^0)*(($A$9*Drivers!$B$5+(1-$A$9)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BF18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$9*Drivers!$B$6+(1-$A$9)*Drivers!$B$9*Drivers!$B$10)*Drivers!$B$37)+(Drivers!$E$49*(1+Drivers!$E$50)^0*(1-Drivers!$B$14)^0)*(($A$9*Drivers!$B$5+(1-$A$9)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BG18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$9*Drivers!$B$6+(1-$A$9)*Drivers!$B$9*Drivers!$B$10)*Drivers!$B$37)+(Drivers!$E$49*(1+Drivers!$E$50)^0*(1-Drivers!$B$14)^0)*(($A$9*Drivers!$B$5+(1-$A$9)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BH18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$9*Drivers!$B$6+(1-$A$9)*Drivers!$B$9*Drivers!$B$10)*Drivers!$B$37)+(Drivers!$E$49*(1+Drivers!$E$50)^0*(1-Drivers!$B$14)^0)*(($A$9*Drivers!$B$5+(1-$A$9)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BI18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$9*Drivers!$B$6+(1-$A$9)*Drivers!$B$9*Drivers!$B$10)*Drivers!$B$37)+(Drivers!$E$49*(1+Drivers!$E$50)^0*(1-Drivers!$B$14)^0)*(($A$9*Drivers!$B$5+(1-$A$9)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BJ18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$9*Drivers!$B$6+(1-$A$9)*Drivers!$B$9*Drivers!$B$10)*Drivers!$B$37)+(Drivers!$E$49*(1+Drivers!$E$50)^0*(1-Drivers!$B$14)^0)*(($A$9*Drivers!$B$5+(1-$A$9)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BK18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$9*Drivers!$B$6+(1-$A$9)*Drivers!$B$9*Drivers!$B$10)*Drivers!$B$37)+(Drivers!$E$49*(1+Drivers!$E$50)^0*(1-Drivers!$B$14)^0)*(($A$9*Drivers!$B$5+(1-$A$9)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BL18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$9*Drivers!$B$6+(1-$A$9)*Drivers!$B$9*Drivers!$B$10)*Drivers!$B$37)+(Drivers!$E$49*(1+Drivers!$E$50)^0*(1-Drivers!$B$14)^0)*(($A$9*Drivers!$B$5+(1-$A$9)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BM18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$9*Drivers!$B$6+(1-$A$9)*Drivers!$B$9*Drivers!$B$10)*Drivers!$B$37)+(Drivers!$E$49*(1+Drivers!$E$50)^0*(1-Drivers!$B$14)^0)*(($A$9*Drivers!$B$5+(1-$A$9)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BN18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$9*Drivers!$B$6+(1-$A$9)*Drivers!$B$9*Drivers!$B$10)*Drivers!$B$37)+(Drivers!$E$49*(1+Drivers!$E$50)^0*(1-Drivers!$B$14)^0)*(($A$9*Drivers!$B$5+(1-$A$9)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(($A$9*Drivers!$B$6+(1-$A$9)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$9*Drivers!$B$5+(1-$A$9)*Drivers!$B$9*Drivers!$B$10)*Drivers!$B$36)+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BO18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$9*Drivers!$B$6+(1-$A$9)*Drivers!$B$9*Drivers!$B$10)*Drivers!$B$37)+(Drivers!$E$49*(1+Drivers!$E$50)^0*(1-Drivers!$B$14)^0)*(($A$9*Drivers!$B$5+(1-$A$9)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(($A$9*Drivers!$B$6+(1-$A$9)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$9*Drivers!$B$5+(1-$A$9)*Drivers!$B$9*Drivers!$B$10)*Drivers!$B$36)+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(($A$9*Drivers!$B$6+(1-$A$9)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$9*Drivers!$B$5+(1-$A$9)*Drivers!$B$9*Drivers!$B$10)*Drivers!$B$36)+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BQ18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$9*Drivers!$B$6+(1-$A$9)*Drivers!$B$9*Drivers!$B$10)*Drivers!$B$37)+(Drivers!$E$49*(1+Drivers!$E$50)^0*(1-Drivers!$B$14)^0)*(($A$9*Drivers!$B$5+(1-$A$9)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BR18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$9*Drivers!$B$6+(1-$A$9)*Drivers!$B$9*Drivers!$B$10)*Drivers!$B$37)+(Drivers!$E$49*(1+Drivers!$E$50)^0*(1-Drivers!$B$14)^0)*(($A$9*Drivers!$B$5+(1-$A$9)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BS18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$9*Drivers!$B$6+(1-$A$9)*Drivers!$B$9*Drivers!$B$10)*Drivers!$B$37)+(Drivers!$E$49*(1+Drivers!$E$50)^0*(1-Drivers!$B$14)^0)*(($A$9*Drivers!$B$5+(1-$A$9)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BT18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$9*Drivers!$B$6+(1-$A$9)*Drivers!$B$9*Drivers!$B$10)*Drivers!$B$37)+(Drivers!$E$49*(1+Drivers!$E$50)^0*(1-Drivers!$B$14)^0)*(($A$9*Drivers!$B$5+(1-$A$9)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BU18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$9*Drivers!$B$6+(1-$A$9)*Drivers!$B$9*Drivers!$B$10)*Drivers!$B$37)+(Drivers!$E$49*(1+Drivers!$E$50)^0*(1-Drivers!$B$14)^0)*(($A$9*Drivers!$B$5+(1-$A$9)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BV18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$9*Drivers!$B$6+(1-$A$9)*Drivers!$B$9*Drivers!$B$10)*Drivers!$B$37)+(Drivers!$E$49*(1+Drivers!$E$50)^0*(1-Drivers!$B$14)^0)*(($A$9*Drivers!$B$5+(1-$A$9)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BW18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$9*Drivers!$B$6+(1-$A$9)*Drivers!$B$9*Drivers!$B$10)*Drivers!$B$37)+(Drivers!$E$49*(1+Drivers!$E$50)^0*(1-Drivers!$B$14)^0)*(($A$9*Drivers!$B$5+(1-$A$9)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BX18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$9*Drivers!$B$6+(1-$A$9)*Drivers!$B$9*Drivers!$B$10)*Drivers!$B$37)+(Drivers!$E$49*(1+Drivers!$E$50)^0*(1-Drivers!$B$14)^0)*(($A$9*Drivers!$B$5+(1-$A$9)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BY18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$9*Drivers!$B$6+(1-$A$9)*Drivers!$B$9*Drivers!$B$10)*Drivers!$B$37)+(Drivers!$E$49*(1+Drivers!$E$50)^0*(1-Drivers!$B$14)^0)*(($A$9*Drivers!$B$5+(1-$A$9)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BZ18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$9*Drivers!$B$6+(1-$A$9)*Drivers!$B$9*Drivers!$B$10)*Drivers!$B$37)+(Drivers!$E$49*(1+Drivers!$E$50)^0*(1-Drivers!$B$14)^0)*(($A$9*Drivers!$B$5+(1-$A$9)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CA18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$9*Drivers!$B$6+(1-$A$9)*Drivers!$B$9*Drivers!$B$10)*Drivers!$B$37)+(Drivers!$E$49*(1+Drivers!$E$50)^0*(1-Drivers!$B$14)^0)*(($A$9*Drivers!$B$5+(1-$A$9)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(($A$9*Drivers!$B$6+(1-$A$9)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$9*Drivers!$B$5+(1-$A$9)*Drivers!$B$9*Drivers!$B$10)*Drivers!$B$36)+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CB18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$9*Drivers!$B$6+(1-$A$9)*Drivers!$B$9*Drivers!$B$10)*Drivers!$B$37)+(Drivers!$E$49*(1+Drivers!$E$50)^0*(1-Drivers!$B$14)^0)*(($A$9*Drivers!$B$5+(1-$A$9)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(($A$9*Drivers!$B$6+(1-$A$9)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$9*Drivers!$B$5+(1-$A$9)*Drivers!$B$9*Drivers!$B$10)*Drivers!$B$36)+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(($A$9*Drivers!$B$6+(1-$A$9)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$9*Drivers!$B$5+(1-$A$9)*Drivers!$B$9*Drivers!$B$10)*Drivers!$B$36)+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CD18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$9*Drivers!$B$6+(1-$A$9)*Drivers!$B$9*Drivers!$B$10)*Drivers!$B$37)+(Drivers!$E$49*(1+Drivers!$E$50)^0*(1-Drivers!$B$14)^0)*(($A$9*Drivers!$B$5+(1-$A$9)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CE18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$9*Drivers!$B$6+(1-$A$9)*Drivers!$B$9*Drivers!$B$10)*Drivers!$B$37)+(Drivers!$E$49*(1+Drivers!$E$50)^0*(1-Drivers!$B$14)^0)*(($A$9*Drivers!$B$5+(1-$A$9)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CF18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$9*Drivers!$B$6+(1-$A$9)*Drivers!$B$9*Drivers!$B$10)*Drivers!$B$37)+(Drivers!$E$49*(1+Drivers!$E$50)^0*(1-Drivers!$B$14)^0)*(($A$9*Drivers!$B$5+(1-$A$9)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CG18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$9*Drivers!$B$6+(1-$A$9)*Drivers!$B$9*Drivers!$B$10)*Drivers!$B$37)+(Drivers!$E$49*(1+Drivers!$E$50)^0*(1-Drivers!$B$14)^0)*(($A$9*Drivers!$B$5+(1-$A$9)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CH18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$9*Drivers!$B$6+(1-$A$9)*Drivers!$B$9*Drivers!$B$10)*Drivers!$B$37)+(Drivers!$E$49*(1+Drivers!$E$50)^0*(1-Drivers!$B$14)^0)*(($A$9*Drivers!$B$5+(1-$A$9)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CI18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$9*Drivers!$B$6+(1-$A$9)*Drivers!$B$9*Drivers!$B$10)*Drivers!$B$37)+(Drivers!$E$49*(1+Drivers!$E$50)^0*(1-Drivers!$B$14)^0)*(($A$9*Drivers!$B$5+(1-$A$9)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CJ18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$9*Drivers!$B$6+(1-$A$9)*Drivers!$B$9*Drivers!$B$10)*Drivers!$B$37)+(Drivers!$E$49*(1+Drivers!$E$50)^0*(1-Drivers!$B$14)^0)*(($A$9*Drivers!$B$5+(1-$A$9)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CK18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$9*Drivers!$B$6+(1-$A$9)*Drivers!$B$9*Drivers!$B$10)*Drivers!$B$37)+(Drivers!$E$49*(1+Drivers!$E$50)^0*(1-Drivers!$B$14)^0)*(($A$9*Drivers!$B$5+(1-$A$9)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CL18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$9*Drivers!$B$6+(1-$A$9)*Drivers!$B$9*Drivers!$B$10)*Drivers!$B$37)+(Drivers!$E$49*(1+Drivers!$E$50)^0*(1-Drivers!$B$14)^0)*(($A$9*Drivers!$B$5+(1-$A$9)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CM18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$9*Drivers!$B$6+(1-$A$9)*Drivers!$B$9*Drivers!$B$10)*Drivers!$B$37)+(Drivers!$E$49*(1+Drivers!$E$50)^0*(1-Drivers!$B$14)^0)*(($A$9*Drivers!$B$5+(1-$A$9)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CN18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$9*Drivers!$B$6+(1-$A$9)*Drivers!$B$9*Drivers!$B$10)*Drivers!$B$37)+(Drivers!$E$49*(1+Drivers!$E$50)^0*(1-Drivers!$B$14)^0)*(($A$9*Drivers!$B$5+(1-$A$9)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(($A$9*Drivers!$B$6+(1-$A$9)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$9*Drivers!$B$5+(1-$A$9)*Drivers!$B$9*Drivers!$B$10)*Drivers!$B$36)+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CO18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$9*Drivers!$B$6+(1-$A$9)*Drivers!$B$9*Drivers!$B$10)*Drivers!$B$37)+(Drivers!$E$49*(1+Drivers!$E$50)^0*(1-Drivers!$B$14)^0)*(($A$9*Drivers!$B$5+(1-$A$9)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$9*Drivers!$B$6+(1-$A$9)*Drivers!$B$9*Drivers!$B$10)*Drivers!$B$37)+(Drivers!$E$49*(1+Drivers!$E$50)^0*(1-Drivers!$B$14)^1+Drivers!$E$49*(1+Drivers!$E$50)^1*(1-Drivers!$B$14)^0)*(($A$9*Drivers!$B$5+(1-$A$9)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$9*Drivers!$B$6+(1-$A$9)*Drivers!$B$9*Drivers!$B$10)*Drivers!$B$37)+(Drivers!$E$49*(1+Drivers!$E$50)^0*(1-Drivers!$B$14)^2+Drivers!$E$49*(1+Drivers!$E$50)^1*(1-Drivers!$B$14)^1+Drivers!$E$49*(1+Drivers!$E$50)^2*(1-Drivers!$B$14)^0)*(($A$9*Drivers!$B$5+(1-$A$9)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$9*Drivers!$B$6+(1-$A$9)*Drivers!$B$9*Drivers!$B$10)*Drivers!$B$37)+(Drivers!$E$49*(1+Drivers!$E$50)^0*(1-Drivers!$B$14)^3+Drivers!$E$49*(1+Drivers!$E$50)^1*(1-Drivers!$B$14)^2+Drivers!$E$49*(1+Drivers!$E$50)^2*(1-Drivers!$B$14)^1+Drivers!$E$49*(1+Drivers!$E$50)^3*(1-Drivers!$B$14)^0)*(($A$9*Drivers!$B$5+(1-$A$9)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$9*Drivers!$B$6+(1-$A$9)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$9*Drivers!$B$5+(1-$A$9)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$9*Drivers!$B$6+(1-$A$9)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$9*Drivers!$B$5+(1-$A$9)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$9*Drivers!$B$6+(1-$A$9)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$9*Drivers!$B$5+(1-$A$9)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$9*Drivers!$B$6+(1-$A$9)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$9*Drivers!$B$5+(1-$A$9)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$9*Drivers!$B$6+(1-$A$9)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$9*Drivers!$B$5+(1-$A$9)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$9*Drivers!$B$6+(1-$A$9)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$9*Drivers!$B$5+(1-$A$9)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(($A$9*Drivers!$B$6+(1-$A$9)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$9*Drivers!$B$5+(1-$A$9)*Drivers!$B$9*Drivers!$B$10)*Drivers!$B$36)+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(($A$9*Drivers!$B$6+(1-$A$9)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$9*Drivers!$B$5+(1-$A$9)*Drivers!$B$9*Drivers!$B$10)*Drivers!$B$36)+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</row>
    <row r="19">
      <c r="D19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$10*Drivers!$B$6+(1-$A$10)*Drivers!$B$9*Drivers!$B$10)*Drivers!$B$37)+(Drivers!$E$49*(1+Drivers!$E$50)^0*(1-Drivers!$B$14)^0)*(($A$10*Drivers!$B$5+(1-$A$10)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E19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$10*Drivers!$B$6+(1-$A$10)*Drivers!$B$9*Drivers!$B$10)*Drivers!$B$37)+(Drivers!$E$49*(1+Drivers!$E$50)^0*(1-Drivers!$B$14)^0)*(($A$10*Drivers!$B$5+(1-$A$10)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F19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$10*Drivers!$B$6+(1-$A$10)*Drivers!$B$9*Drivers!$B$10)*Drivers!$B$37)+(Drivers!$E$49*(1+Drivers!$E$50)^0*(1-Drivers!$B$14)^0)*(($A$10*Drivers!$B$5+(1-$A$10)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G19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$10*Drivers!$B$6+(1-$A$10)*Drivers!$B$9*Drivers!$B$10)*Drivers!$B$37)+(Drivers!$E$49*(1+Drivers!$E$50)^0*(1-Drivers!$B$14)^0)*(($A$10*Drivers!$B$5+(1-$A$10)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H19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$10*Drivers!$B$6+(1-$A$10)*Drivers!$B$9*Drivers!$B$10)*Drivers!$B$37)+(Drivers!$E$49*(1+Drivers!$E$50)^0*(1-Drivers!$B$14)^0)*(($A$10*Drivers!$B$5+(1-$A$10)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I19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$10*Drivers!$B$6+(1-$A$10)*Drivers!$B$9*Drivers!$B$10)*Drivers!$B$37)+(Drivers!$E$49*(1+Drivers!$E$50)^0*(1-Drivers!$B$14)^0)*(($A$10*Drivers!$B$5+(1-$A$10)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J19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$10*Drivers!$B$6+(1-$A$10)*Drivers!$B$9*Drivers!$B$10)*Drivers!$B$37)+(Drivers!$E$49*(1+Drivers!$E$50)^0*(1-Drivers!$B$14)^0)*(($A$10*Drivers!$B$5+(1-$A$10)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K19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$10*Drivers!$B$6+(1-$A$10)*Drivers!$B$9*Drivers!$B$10)*Drivers!$B$37)+(Drivers!$E$49*(1+Drivers!$E$50)^0*(1-Drivers!$B$14)^0)*(($A$10*Drivers!$B$5+(1-$A$10)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L19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$10*Drivers!$B$6+(1-$A$10)*Drivers!$B$9*Drivers!$B$10)*Drivers!$B$37)+(Drivers!$E$49*(1+Drivers!$E$50)^0*(1-Drivers!$B$14)^0)*(($A$10*Drivers!$B$5+(1-$A$10)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M19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$10*Drivers!$B$6+(1-$A$10)*Drivers!$B$9*Drivers!$B$10)*Drivers!$B$37)+(Drivers!$E$49*(1+Drivers!$E$50)^0*(1-Drivers!$B$14)^0)*(($A$10*Drivers!$B$5+(1-$A$10)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N19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$10*Drivers!$B$6+(1-$A$10)*Drivers!$B$9*Drivers!$B$10)*Drivers!$B$37)+(Drivers!$E$49*(1+Drivers!$E$50)^0*(1-Drivers!$B$14)^0)*(($A$10*Drivers!$B$5+(1-$A$10)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(($A$10*Drivers!$B$6+(1-$A$10)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$10*Drivers!$B$5+(1-$A$10)*Drivers!$B$9*Drivers!$B$10)*Drivers!$B$36)+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O19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$10*Drivers!$B$6+(1-$A$10)*Drivers!$B$9*Drivers!$B$10)*Drivers!$B$37)+(Drivers!$E$49*(1+Drivers!$E$50)^0*(1-Drivers!$B$14)^0)*(($A$10*Drivers!$B$5+(1-$A$10)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(($A$10*Drivers!$B$6+(1-$A$10)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$10*Drivers!$B$5+(1-$A$10)*Drivers!$B$9*Drivers!$B$10)*Drivers!$B$36)+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(($A$10*Drivers!$B$6+(1-$A$10)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$10*Drivers!$B$5+(1-$A$10)*Drivers!$B$9*Drivers!$B$10)*Drivers!$B$36)+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Q19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$10*Drivers!$B$6+(1-$A$10)*Drivers!$B$9*Drivers!$B$10)*Drivers!$B$37)+(Drivers!$E$49*(1+Drivers!$E$50)^0*(1-Drivers!$B$14)^0)*(($A$10*Drivers!$B$5+(1-$A$10)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R19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$10*Drivers!$B$6+(1-$A$10)*Drivers!$B$9*Drivers!$B$10)*Drivers!$B$37)+(Drivers!$E$49*(1+Drivers!$E$50)^0*(1-Drivers!$B$14)^0)*(($A$10*Drivers!$B$5+(1-$A$10)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S19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$10*Drivers!$B$6+(1-$A$10)*Drivers!$B$9*Drivers!$B$10)*Drivers!$B$37)+(Drivers!$E$49*(1+Drivers!$E$50)^0*(1-Drivers!$B$14)^0)*(($A$10*Drivers!$B$5+(1-$A$10)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T19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$10*Drivers!$B$6+(1-$A$10)*Drivers!$B$9*Drivers!$B$10)*Drivers!$B$37)+(Drivers!$E$49*(1+Drivers!$E$50)^0*(1-Drivers!$B$14)^0)*(($A$10*Drivers!$B$5+(1-$A$10)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U19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$10*Drivers!$B$6+(1-$A$10)*Drivers!$B$9*Drivers!$B$10)*Drivers!$B$37)+(Drivers!$E$49*(1+Drivers!$E$50)^0*(1-Drivers!$B$14)^0)*(($A$10*Drivers!$B$5+(1-$A$10)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V19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$10*Drivers!$B$6+(1-$A$10)*Drivers!$B$9*Drivers!$B$10)*Drivers!$B$37)+(Drivers!$E$49*(1+Drivers!$E$50)^0*(1-Drivers!$B$14)^0)*(($A$10*Drivers!$B$5+(1-$A$10)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W19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$10*Drivers!$B$6+(1-$A$10)*Drivers!$B$9*Drivers!$B$10)*Drivers!$B$37)+(Drivers!$E$49*(1+Drivers!$E$50)^0*(1-Drivers!$B$14)^0)*(($A$10*Drivers!$B$5+(1-$A$10)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X19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$10*Drivers!$B$6+(1-$A$10)*Drivers!$B$9*Drivers!$B$10)*Drivers!$B$37)+(Drivers!$E$49*(1+Drivers!$E$50)^0*(1-Drivers!$B$14)^0)*(($A$10*Drivers!$B$5+(1-$A$10)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Y19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$10*Drivers!$B$6+(1-$A$10)*Drivers!$B$9*Drivers!$B$10)*Drivers!$B$37)+(Drivers!$E$49*(1+Drivers!$E$50)^0*(1-Drivers!$B$14)^0)*(($A$10*Drivers!$B$5+(1-$A$10)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Z19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$10*Drivers!$B$6+(1-$A$10)*Drivers!$B$9*Drivers!$B$10)*Drivers!$B$37)+(Drivers!$E$49*(1+Drivers!$E$50)^0*(1-Drivers!$B$14)^0)*(($A$10*Drivers!$B$5+(1-$A$10)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AA19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$10*Drivers!$B$6+(1-$A$10)*Drivers!$B$9*Drivers!$B$10)*Drivers!$B$37)+(Drivers!$E$49*(1+Drivers!$E$50)^0*(1-Drivers!$B$14)^0)*(($A$10*Drivers!$B$5+(1-$A$10)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(($A$10*Drivers!$B$6+(1-$A$10)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$10*Drivers!$B$5+(1-$A$10)*Drivers!$B$9*Drivers!$B$10)*Drivers!$B$36)+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AB19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$10*Drivers!$B$6+(1-$A$10)*Drivers!$B$9*Drivers!$B$10)*Drivers!$B$37)+(Drivers!$E$49*(1+Drivers!$E$50)^0*(1-Drivers!$B$14)^0)*(($A$10*Drivers!$B$5+(1-$A$10)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(($A$10*Drivers!$B$6+(1-$A$10)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$10*Drivers!$B$5+(1-$A$10)*Drivers!$B$9*Drivers!$B$10)*Drivers!$B$36)+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(($A$10*Drivers!$B$6+(1-$A$10)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$10*Drivers!$B$5+(1-$A$10)*Drivers!$B$9*Drivers!$B$10)*Drivers!$B$36)+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AD19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$10*Drivers!$B$6+(1-$A$10)*Drivers!$B$9*Drivers!$B$10)*Drivers!$B$37)+(Drivers!$E$49*(1+Drivers!$E$50)^0*(1-Drivers!$B$14)^0)*(($A$10*Drivers!$B$5+(1-$A$10)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AE19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$10*Drivers!$B$6+(1-$A$10)*Drivers!$B$9*Drivers!$B$10)*Drivers!$B$37)+(Drivers!$E$49*(1+Drivers!$E$50)^0*(1-Drivers!$B$14)^0)*(($A$10*Drivers!$B$5+(1-$A$10)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AF19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$10*Drivers!$B$6+(1-$A$10)*Drivers!$B$9*Drivers!$B$10)*Drivers!$B$37)+(Drivers!$E$49*(1+Drivers!$E$50)^0*(1-Drivers!$B$14)^0)*(($A$10*Drivers!$B$5+(1-$A$10)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AG19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$10*Drivers!$B$6+(1-$A$10)*Drivers!$B$9*Drivers!$B$10)*Drivers!$B$37)+(Drivers!$E$49*(1+Drivers!$E$50)^0*(1-Drivers!$B$14)^0)*(($A$10*Drivers!$B$5+(1-$A$10)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AH19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$10*Drivers!$B$6+(1-$A$10)*Drivers!$B$9*Drivers!$B$10)*Drivers!$B$37)+(Drivers!$E$49*(1+Drivers!$E$50)^0*(1-Drivers!$B$14)^0)*(($A$10*Drivers!$B$5+(1-$A$10)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AI19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$10*Drivers!$B$6+(1-$A$10)*Drivers!$B$9*Drivers!$B$10)*Drivers!$B$37)+(Drivers!$E$49*(1+Drivers!$E$50)^0*(1-Drivers!$B$14)^0)*(($A$10*Drivers!$B$5+(1-$A$10)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AJ19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$10*Drivers!$B$6+(1-$A$10)*Drivers!$B$9*Drivers!$B$10)*Drivers!$B$37)+(Drivers!$E$49*(1+Drivers!$E$50)^0*(1-Drivers!$B$14)^0)*(($A$10*Drivers!$B$5+(1-$A$10)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AK19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$10*Drivers!$B$6+(1-$A$10)*Drivers!$B$9*Drivers!$B$10)*Drivers!$B$37)+(Drivers!$E$49*(1+Drivers!$E$50)^0*(1-Drivers!$B$14)^0)*(($A$10*Drivers!$B$5+(1-$A$10)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AL19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$10*Drivers!$B$6+(1-$A$10)*Drivers!$B$9*Drivers!$B$10)*Drivers!$B$37)+(Drivers!$E$49*(1+Drivers!$E$50)^0*(1-Drivers!$B$14)^0)*(($A$10*Drivers!$B$5+(1-$A$10)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AM19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$10*Drivers!$B$6+(1-$A$10)*Drivers!$B$9*Drivers!$B$10)*Drivers!$B$37)+(Drivers!$E$49*(1+Drivers!$E$50)^0*(1-Drivers!$B$14)^0)*(($A$10*Drivers!$B$5+(1-$A$10)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AN19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$10*Drivers!$B$6+(1-$A$10)*Drivers!$B$9*Drivers!$B$10)*Drivers!$B$37)+(Drivers!$E$49*(1+Drivers!$E$50)^0*(1-Drivers!$B$14)^0)*(($A$10*Drivers!$B$5+(1-$A$10)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(($A$10*Drivers!$B$6+(1-$A$10)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$10*Drivers!$B$5+(1-$A$10)*Drivers!$B$9*Drivers!$B$10)*Drivers!$B$36)+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AO19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$10*Drivers!$B$6+(1-$A$10)*Drivers!$B$9*Drivers!$B$10)*Drivers!$B$37)+(Drivers!$E$49*(1+Drivers!$E$50)^0*(1-Drivers!$B$14)^0)*(($A$10*Drivers!$B$5+(1-$A$10)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(($A$10*Drivers!$B$6+(1-$A$10)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$10*Drivers!$B$5+(1-$A$10)*Drivers!$B$9*Drivers!$B$10)*Drivers!$B$36)+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(($A$10*Drivers!$B$6+(1-$A$10)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$10*Drivers!$B$5+(1-$A$10)*Drivers!$B$9*Drivers!$B$10)*Drivers!$B$36)+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AQ19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$10*Drivers!$B$6+(1-$A$10)*Drivers!$B$9*Drivers!$B$10)*Drivers!$B$37)+(Drivers!$E$49*(1+Drivers!$E$50)^0*(1-Drivers!$B$14)^0)*(($A$10*Drivers!$B$5+(1-$A$10)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AR19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$10*Drivers!$B$6+(1-$A$10)*Drivers!$B$9*Drivers!$B$10)*Drivers!$B$37)+(Drivers!$E$49*(1+Drivers!$E$50)^0*(1-Drivers!$B$14)^0)*(($A$10*Drivers!$B$5+(1-$A$10)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AS19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$10*Drivers!$B$6+(1-$A$10)*Drivers!$B$9*Drivers!$B$10)*Drivers!$B$37)+(Drivers!$E$49*(1+Drivers!$E$50)^0*(1-Drivers!$B$14)^0)*(($A$10*Drivers!$B$5+(1-$A$10)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AT19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$10*Drivers!$B$6+(1-$A$10)*Drivers!$B$9*Drivers!$B$10)*Drivers!$B$37)+(Drivers!$E$49*(1+Drivers!$E$50)^0*(1-Drivers!$B$14)^0)*(($A$10*Drivers!$B$5+(1-$A$10)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AU19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$10*Drivers!$B$6+(1-$A$10)*Drivers!$B$9*Drivers!$B$10)*Drivers!$B$37)+(Drivers!$E$49*(1+Drivers!$E$50)^0*(1-Drivers!$B$14)^0)*(($A$10*Drivers!$B$5+(1-$A$10)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AV19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$10*Drivers!$B$6+(1-$A$10)*Drivers!$B$9*Drivers!$B$10)*Drivers!$B$37)+(Drivers!$E$49*(1+Drivers!$E$50)^0*(1-Drivers!$B$14)^0)*(($A$10*Drivers!$B$5+(1-$A$10)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AW19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$10*Drivers!$B$6+(1-$A$10)*Drivers!$B$9*Drivers!$B$10)*Drivers!$B$37)+(Drivers!$E$49*(1+Drivers!$E$50)^0*(1-Drivers!$B$14)^0)*(($A$10*Drivers!$B$5+(1-$A$10)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AX19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$10*Drivers!$B$6+(1-$A$10)*Drivers!$B$9*Drivers!$B$10)*Drivers!$B$37)+(Drivers!$E$49*(1+Drivers!$E$50)^0*(1-Drivers!$B$14)^0)*(($A$10*Drivers!$B$5+(1-$A$10)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AY19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$10*Drivers!$B$6+(1-$A$10)*Drivers!$B$9*Drivers!$B$10)*Drivers!$B$37)+(Drivers!$E$49*(1+Drivers!$E$50)^0*(1-Drivers!$B$14)^0)*(($A$10*Drivers!$B$5+(1-$A$10)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AZ19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$10*Drivers!$B$6+(1-$A$10)*Drivers!$B$9*Drivers!$B$10)*Drivers!$B$37)+(Drivers!$E$49*(1+Drivers!$E$50)^0*(1-Drivers!$B$14)^0)*(($A$10*Drivers!$B$5+(1-$A$10)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BA19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$10*Drivers!$B$6+(1-$A$10)*Drivers!$B$9*Drivers!$B$10)*Drivers!$B$37)+(Drivers!$E$49*(1+Drivers!$E$50)^0*(1-Drivers!$B$14)^0)*(($A$10*Drivers!$B$5+(1-$A$10)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(($A$10*Drivers!$B$6+(1-$A$10)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$10*Drivers!$B$5+(1-$A$10)*Drivers!$B$9*Drivers!$B$10)*Drivers!$B$36)+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BB19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$10*Drivers!$B$6+(1-$A$10)*Drivers!$B$9*Drivers!$B$10)*Drivers!$B$37)+(Drivers!$E$49*(1+Drivers!$E$50)^0*(1-Drivers!$B$14)^0)*(($A$10*Drivers!$B$5+(1-$A$10)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(($A$10*Drivers!$B$6+(1-$A$10)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$10*Drivers!$B$5+(1-$A$10)*Drivers!$B$9*Drivers!$B$10)*Drivers!$B$36)+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(($A$10*Drivers!$B$6+(1-$A$10)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$10*Drivers!$B$5+(1-$A$10)*Drivers!$B$9*Drivers!$B$10)*Drivers!$B$36)+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BD19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$10*Drivers!$B$6+(1-$A$10)*Drivers!$B$9*Drivers!$B$10)*Drivers!$B$37)+(Drivers!$E$49*(1+Drivers!$E$50)^0*(1-Drivers!$B$14)^0)*(($A$10*Drivers!$B$5+(1-$A$10)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BE19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$10*Drivers!$B$6+(1-$A$10)*Drivers!$B$9*Drivers!$B$10)*Drivers!$B$37)+(Drivers!$E$49*(1+Drivers!$E$50)^0*(1-Drivers!$B$14)^0)*(($A$10*Drivers!$B$5+(1-$A$10)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BF19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$10*Drivers!$B$6+(1-$A$10)*Drivers!$B$9*Drivers!$B$10)*Drivers!$B$37)+(Drivers!$E$49*(1+Drivers!$E$50)^0*(1-Drivers!$B$14)^0)*(($A$10*Drivers!$B$5+(1-$A$10)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BG19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$10*Drivers!$B$6+(1-$A$10)*Drivers!$B$9*Drivers!$B$10)*Drivers!$B$37)+(Drivers!$E$49*(1+Drivers!$E$50)^0*(1-Drivers!$B$14)^0)*(($A$10*Drivers!$B$5+(1-$A$10)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BH19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$10*Drivers!$B$6+(1-$A$10)*Drivers!$B$9*Drivers!$B$10)*Drivers!$B$37)+(Drivers!$E$49*(1+Drivers!$E$50)^0*(1-Drivers!$B$14)^0)*(($A$10*Drivers!$B$5+(1-$A$10)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BI19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$10*Drivers!$B$6+(1-$A$10)*Drivers!$B$9*Drivers!$B$10)*Drivers!$B$37)+(Drivers!$E$49*(1+Drivers!$E$50)^0*(1-Drivers!$B$14)^0)*(($A$10*Drivers!$B$5+(1-$A$10)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BJ19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$10*Drivers!$B$6+(1-$A$10)*Drivers!$B$9*Drivers!$B$10)*Drivers!$B$37)+(Drivers!$E$49*(1+Drivers!$E$50)^0*(1-Drivers!$B$14)^0)*(($A$10*Drivers!$B$5+(1-$A$10)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BK19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$10*Drivers!$B$6+(1-$A$10)*Drivers!$B$9*Drivers!$B$10)*Drivers!$B$37)+(Drivers!$E$49*(1+Drivers!$E$50)^0*(1-Drivers!$B$14)^0)*(($A$10*Drivers!$B$5+(1-$A$10)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BL19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$10*Drivers!$B$6+(1-$A$10)*Drivers!$B$9*Drivers!$B$10)*Drivers!$B$37)+(Drivers!$E$49*(1+Drivers!$E$50)^0*(1-Drivers!$B$14)^0)*(($A$10*Drivers!$B$5+(1-$A$10)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BM19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$10*Drivers!$B$6+(1-$A$10)*Drivers!$B$9*Drivers!$B$10)*Drivers!$B$37)+(Drivers!$E$49*(1+Drivers!$E$50)^0*(1-Drivers!$B$14)^0)*(($A$10*Drivers!$B$5+(1-$A$10)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BN19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$10*Drivers!$B$6+(1-$A$10)*Drivers!$B$9*Drivers!$B$10)*Drivers!$B$37)+(Drivers!$E$49*(1+Drivers!$E$50)^0*(1-Drivers!$B$14)^0)*(($A$10*Drivers!$B$5+(1-$A$10)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(($A$10*Drivers!$B$6+(1-$A$10)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$10*Drivers!$B$5+(1-$A$10)*Drivers!$B$9*Drivers!$B$10)*Drivers!$B$36)+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BO19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$10*Drivers!$B$6+(1-$A$10)*Drivers!$B$9*Drivers!$B$10)*Drivers!$B$37)+(Drivers!$E$49*(1+Drivers!$E$50)^0*(1-Drivers!$B$14)^0)*(($A$10*Drivers!$B$5+(1-$A$10)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(($A$10*Drivers!$B$6+(1-$A$10)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$10*Drivers!$B$5+(1-$A$10)*Drivers!$B$9*Drivers!$B$10)*Drivers!$B$36)+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(($A$10*Drivers!$B$6+(1-$A$10)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$10*Drivers!$B$5+(1-$A$10)*Drivers!$B$9*Drivers!$B$10)*Drivers!$B$36)+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BQ19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$10*Drivers!$B$6+(1-$A$10)*Drivers!$B$9*Drivers!$B$10)*Drivers!$B$37)+(Drivers!$E$49*(1+Drivers!$E$50)^0*(1-Drivers!$B$14)^0)*(($A$10*Drivers!$B$5+(1-$A$10)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BR19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$10*Drivers!$B$6+(1-$A$10)*Drivers!$B$9*Drivers!$B$10)*Drivers!$B$37)+(Drivers!$E$49*(1+Drivers!$E$50)^0*(1-Drivers!$B$14)^0)*(($A$10*Drivers!$B$5+(1-$A$10)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BS19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$10*Drivers!$B$6+(1-$A$10)*Drivers!$B$9*Drivers!$B$10)*Drivers!$B$37)+(Drivers!$E$49*(1+Drivers!$E$50)^0*(1-Drivers!$B$14)^0)*(($A$10*Drivers!$B$5+(1-$A$10)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BT19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$10*Drivers!$B$6+(1-$A$10)*Drivers!$B$9*Drivers!$B$10)*Drivers!$B$37)+(Drivers!$E$49*(1+Drivers!$E$50)^0*(1-Drivers!$B$14)^0)*(($A$10*Drivers!$B$5+(1-$A$10)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BU19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$10*Drivers!$B$6+(1-$A$10)*Drivers!$B$9*Drivers!$B$10)*Drivers!$B$37)+(Drivers!$E$49*(1+Drivers!$E$50)^0*(1-Drivers!$B$14)^0)*(($A$10*Drivers!$B$5+(1-$A$10)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BV19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$10*Drivers!$B$6+(1-$A$10)*Drivers!$B$9*Drivers!$B$10)*Drivers!$B$37)+(Drivers!$E$49*(1+Drivers!$E$50)^0*(1-Drivers!$B$14)^0)*(($A$10*Drivers!$B$5+(1-$A$10)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BW19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$10*Drivers!$B$6+(1-$A$10)*Drivers!$B$9*Drivers!$B$10)*Drivers!$B$37)+(Drivers!$E$49*(1+Drivers!$E$50)^0*(1-Drivers!$B$14)^0)*(($A$10*Drivers!$B$5+(1-$A$10)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BX19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$10*Drivers!$B$6+(1-$A$10)*Drivers!$B$9*Drivers!$B$10)*Drivers!$B$37)+(Drivers!$E$49*(1+Drivers!$E$50)^0*(1-Drivers!$B$14)^0)*(($A$10*Drivers!$B$5+(1-$A$10)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BY19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$10*Drivers!$B$6+(1-$A$10)*Drivers!$B$9*Drivers!$B$10)*Drivers!$B$37)+(Drivers!$E$49*(1+Drivers!$E$50)^0*(1-Drivers!$B$14)^0)*(($A$10*Drivers!$B$5+(1-$A$10)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BZ19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$10*Drivers!$B$6+(1-$A$10)*Drivers!$B$9*Drivers!$B$10)*Drivers!$B$37)+(Drivers!$E$49*(1+Drivers!$E$50)^0*(1-Drivers!$B$14)^0)*(($A$10*Drivers!$B$5+(1-$A$10)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CA19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$10*Drivers!$B$6+(1-$A$10)*Drivers!$B$9*Drivers!$B$10)*Drivers!$B$37)+(Drivers!$E$49*(1+Drivers!$E$50)^0*(1-Drivers!$B$14)^0)*(($A$10*Drivers!$B$5+(1-$A$10)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(($A$10*Drivers!$B$6+(1-$A$10)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$10*Drivers!$B$5+(1-$A$10)*Drivers!$B$9*Drivers!$B$10)*Drivers!$B$36)+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CB19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$10*Drivers!$B$6+(1-$A$10)*Drivers!$B$9*Drivers!$B$10)*Drivers!$B$37)+(Drivers!$E$49*(1+Drivers!$E$50)^0*(1-Drivers!$B$14)^0)*(($A$10*Drivers!$B$5+(1-$A$10)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(($A$10*Drivers!$B$6+(1-$A$10)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$10*Drivers!$B$5+(1-$A$10)*Drivers!$B$9*Drivers!$B$10)*Drivers!$B$36)+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(($A$10*Drivers!$B$6+(1-$A$10)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$10*Drivers!$B$5+(1-$A$10)*Drivers!$B$9*Drivers!$B$10)*Drivers!$B$36)+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CD19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$10*Drivers!$B$6+(1-$A$10)*Drivers!$B$9*Drivers!$B$10)*Drivers!$B$37)+(Drivers!$E$49*(1+Drivers!$E$50)^0*(1-Drivers!$B$14)^0)*(($A$10*Drivers!$B$5+(1-$A$10)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CE19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$10*Drivers!$B$6+(1-$A$10)*Drivers!$B$9*Drivers!$B$10)*Drivers!$B$37)+(Drivers!$E$49*(1+Drivers!$E$50)^0*(1-Drivers!$B$14)^0)*(($A$10*Drivers!$B$5+(1-$A$10)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CF19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$10*Drivers!$B$6+(1-$A$10)*Drivers!$B$9*Drivers!$B$10)*Drivers!$B$37)+(Drivers!$E$49*(1+Drivers!$E$50)^0*(1-Drivers!$B$14)^0)*(($A$10*Drivers!$B$5+(1-$A$10)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CG19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$10*Drivers!$B$6+(1-$A$10)*Drivers!$B$9*Drivers!$B$10)*Drivers!$B$37)+(Drivers!$E$49*(1+Drivers!$E$50)^0*(1-Drivers!$B$14)^0)*(($A$10*Drivers!$B$5+(1-$A$10)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CH19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$10*Drivers!$B$6+(1-$A$10)*Drivers!$B$9*Drivers!$B$10)*Drivers!$B$37)+(Drivers!$E$49*(1+Drivers!$E$50)^0*(1-Drivers!$B$14)^0)*(($A$10*Drivers!$B$5+(1-$A$10)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CI19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$10*Drivers!$B$6+(1-$A$10)*Drivers!$B$9*Drivers!$B$10)*Drivers!$B$37)+(Drivers!$E$49*(1+Drivers!$E$50)^0*(1-Drivers!$B$14)^0)*(($A$10*Drivers!$B$5+(1-$A$10)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CJ19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$10*Drivers!$B$6+(1-$A$10)*Drivers!$B$9*Drivers!$B$10)*Drivers!$B$37)+(Drivers!$E$49*(1+Drivers!$E$50)^0*(1-Drivers!$B$14)^0)*(($A$10*Drivers!$B$5+(1-$A$10)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CK19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$10*Drivers!$B$6+(1-$A$10)*Drivers!$B$9*Drivers!$B$10)*Drivers!$B$37)+(Drivers!$E$49*(1+Drivers!$E$50)^0*(1-Drivers!$B$14)^0)*(($A$10*Drivers!$B$5+(1-$A$10)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CL19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$10*Drivers!$B$6+(1-$A$10)*Drivers!$B$9*Drivers!$B$10)*Drivers!$B$37)+(Drivers!$E$49*(1+Drivers!$E$50)^0*(1-Drivers!$B$14)^0)*(($A$10*Drivers!$B$5+(1-$A$10)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CM19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$10*Drivers!$B$6+(1-$A$10)*Drivers!$B$9*Drivers!$B$10)*Drivers!$B$37)+(Drivers!$E$49*(1+Drivers!$E$50)^0*(1-Drivers!$B$14)^0)*(($A$10*Drivers!$B$5+(1-$A$10)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CN19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$10*Drivers!$B$6+(1-$A$10)*Drivers!$B$9*Drivers!$B$10)*Drivers!$B$37)+(Drivers!$E$49*(1+Drivers!$E$50)^0*(1-Drivers!$B$14)^0)*(($A$10*Drivers!$B$5+(1-$A$10)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(($A$10*Drivers!$B$6+(1-$A$10)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$10*Drivers!$B$5+(1-$A$10)*Drivers!$B$9*Drivers!$B$10)*Drivers!$B$36)+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CO19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$10*Drivers!$B$6+(1-$A$10)*Drivers!$B$9*Drivers!$B$10)*Drivers!$B$37)+(Drivers!$E$49*(1+Drivers!$E$50)^0*(1-Drivers!$B$14)^0)*(($A$10*Drivers!$B$5+(1-$A$10)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$10*Drivers!$B$6+(1-$A$10)*Drivers!$B$9*Drivers!$B$10)*Drivers!$B$37)+(Drivers!$E$49*(1+Drivers!$E$50)^0*(1-Drivers!$B$14)^1+Drivers!$E$49*(1+Drivers!$E$50)^1*(1-Drivers!$B$14)^0)*(($A$10*Drivers!$B$5+(1-$A$10)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$10*Drivers!$B$6+(1-$A$10)*Drivers!$B$9*Drivers!$B$10)*Drivers!$B$37)+(Drivers!$E$49*(1+Drivers!$E$50)^0*(1-Drivers!$B$14)^2+Drivers!$E$49*(1+Drivers!$E$50)^1*(1-Drivers!$B$14)^1+Drivers!$E$49*(1+Drivers!$E$50)^2*(1-Drivers!$B$14)^0)*(($A$10*Drivers!$B$5+(1-$A$10)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$10*Drivers!$B$6+(1-$A$10)*Drivers!$B$9*Drivers!$B$10)*Drivers!$B$37)+(Drivers!$E$49*(1+Drivers!$E$50)^0*(1-Drivers!$B$14)^3+Drivers!$E$49*(1+Drivers!$E$50)^1*(1-Drivers!$B$14)^2+Drivers!$E$49*(1+Drivers!$E$50)^2*(1-Drivers!$B$14)^1+Drivers!$E$49*(1+Drivers!$E$50)^3*(1-Drivers!$B$14)^0)*(($A$10*Drivers!$B$5+(1-$A$10)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$10*Drivers!$B$6+(1-$A$10)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$10*Drivers!$B$5+(1-$A$10)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$10*Drivers!$B$6+(1-$A$10)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$10*Drivers!$B$5+(1-$A$10)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$10*Drivers!$B$6+(1-$A$10)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$10*Drivers!$B$5+(1-$A$10)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$10*Drivers!$B$6+(1-$A$10)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$10*Drivers!$B$5+(1-$A$10)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$10*Drivers!$B$6+(1-$A$10)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$10*Drivers!$B$5+(1-$A$10)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$10*Drivers!$B$6+(1-$A$10)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$10*Drivers!$B$5+(1-$A$10)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(($A$10*Drivers!$B$6+(1-$A$10)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$10*Drivers!$B$5+(1-$A$10)*Drivers!$B$9*Drivers!$B$10)*Drivers!$B$36)+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(($A$10*Drivers!$B$6+(1-$A$10)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$10*Drivers!$B$5+(1-$A$10)*Drivers!$B$9*Drivers!$B$10)*Drivers!$B$36)+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</row>
    <row r="20">
      <c r="D20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$11*Drivers!$B$6+(1-$A$11)*Drivers!$B$9*Drivers!$B$10)*Drivers!$B$37)+(Drivers!$E$49*(1+Drivers!$E$50)^0*(1-Drivers!$B$14)^0)*(($A$11*Drivers!$B$5+(1-$A$11)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E20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$11*Drivers!$B$6+(1-$A$11)*Drivers!$B$9*Drivers!$B$10)*Drivers!$B$37)+(Drivers!$E$49*(1+Drivers!$E$50)^0*(1-Drivers!$B$14)^0)*(($A$11*Drivers!$B$5+(1-$A$11)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F20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$11*Drivers!$B$6+(1-$A$11)*Drivers!$B$9*Drivers!$B$10)*Drivers!$B$37)+(Drivers!$E$49*(1+Drivers!$E$50)^0*(1-Drivers!$B$14)^0)*(($A$11*Drivers!$B$5+(1-$A$11)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G20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$11*Drivers!$B$6+(1-$A$11)*Drivers!$B$9*Drivers!$B$10)*Drivers!$B$37)+(Drivers!$E$49*(1+Drivers!$E$50)^0*(1-Drivers!$B$14)^0)*(($A$11*Drivers!$B$5+(1-$A$11)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H20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$11*Drivers!$B$6+(1-$A$11)*Drivers!$B$9*Drivers!$B$10)*Drivers!$B$37)+(Drivers!$E$49*(1+Drivers!$E$50)^0*(1-Drivers!$B$14)^0)*(($A$11*Drivers!$B$5+(1-$A$11)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I20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$11*Drivers!$B$6+(1-$A$11)*Drivers!$B$9*Drivers!$B$10)*Drivers!$B$37)+(Drivers!$E$49*(1+Drivers!$E$50)^0*(1-Drivers!$B$14)^0)*(($A$11*Drivers!$B$5+(1-$A$11)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J20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$11*Drivers!$B$6+(1-$A$11)*Drivers!$B$9*Drivers!$B$10)*Drivers!$B$37)+(Drivers!$E$49*(1+Drivers!$E$50)^0*(1-Drivers!$B$14)^0)*(($A$11*Drivers!$B$5+(1-$A$11)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K20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$11*Drivers!$B$6+(1-$A$11)*Drivers!$B$9*Drivers!$B$10)*Drivers!$B$37)+(Drivers!$E$49*(1+Drivers!$E$50)^0*(1-Drivers!$B$14)^0)*(($A$11*Drivers!$B$5+(1-$A$11)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L20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$11*Drivers!$B$6+(1-$A$11)*Drivers!$B$9*Drivers!$B$10)*Drivers!$B$37)+(Drivers!$E$49*(1+Drivers!$E$50)^0*(1-Drivers!$B$14)^0)*(($A$11*Drivers!$B$5+(1-$A$11)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M20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$11*Drivers!$B$6+(1-$A$11)*Drivers!$B$9*Drivers!$B$10)*Drivers!$B$37)+(Drivers!$E$49*(1+Drivers!$E$50)^0*(1-Drivers!$B$14)^0)*(($A$11*Drivers!$B$5+(1-$A$11)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N20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$11*Drivers!$B$6+(1-$A$11)*Drivers!$B$9*Drivers!$B$10)*Drivers!$B$37)+(Drivers!$E$49*(1+Drivers!$E$50)^0*(1-Drivers!$B$14)^0)*(($A$11*Drivers!$B$5+(1-$A$11)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(($A$11*Drivers!$B$6+(1-$A$11)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$11*Drivers!$B$5+(1-$A$11)*Drivers!$B$9*Drivers!$B$10)*Drivers!$B$36)+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O20" s="20">
        <f>Drivers!$B$39+(((Drivers!$E$47*(1+Drivers!$E$48)^0*(1-B$4)^0)*Drivers!$B$29+(Drivers!$E$49*(1+Drivers!$E$50)^0*(1-Drivers!$B$14)^0)*Drivers!$B$28+Drivers!$E$47*(1+Drivers!$E$48)^0*Drivers!$B$25*Drivers!$B$24)-((Drivers!$E$47*(1+Drivers!$E$48)^0*(1-B$4)^0)*(($A$11*Drivers!$B$6+(1-$A$11)*Drivers!$B$9*Drivers!$B$10)*Drivers!$B$37)+(Drivers!$E$49*(1+Drivers!$E$50)^0*(1-Drivers!$B$14)^0)*(($A$11*Drivers!$B$5+(1-$A$11)*Drivers!$B$9*Drivers!$B$10)*Drivers!$B$36)+((Drivers!$E$47*(1+Drivers!$E$48)^0*(1-B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-((Drivers!$E$47*(1+Drivers!$E$48)^0*(1-B$4)^1+Drivers!$E$47*(1+Drivers!$E$48)^1*(1-B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B$4)^1+Drivers!$E$47*(1+Drivers!$E$48)^1*(1-B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B$4)^2+Drivers!$E$47*(1+Drivers!$E$48)^1*(1-B$4)^1+Drivers!$E$47*(1+Drivers!$E$48)^2*(1-B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B$4)^2+Drivers!$E$47*(1+Drivers!$E$48)^1*(1-B$4)^1+Drivers!$E$47*(1+Drivers!$E$48)^2*(1-B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B$4)^3+Drivers!$E$47*(1+Drivers!$E$48)^1*(1-B$4)^2+Drivers!$E$47*(1+Drivers!$E$48)^2*(1-B$4)^1+Drivers!$E$47*(1+Drivers!$E$48)^3*(1-B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B$4)^3+Drivers!$E$47*(1+Drivers!$E$48)^1*(1-B$4)^2+Drivers!$E$47*(1+Drivers!$E$48)^2*(1-B$4)^1+Drivers!$E$47*(1+Drivers!$E$48)^3*(1-B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B$4)^4+Drivers!$E$47*(1+Drivers!$E$48)^1*(1-B$4)^3+Drivers!$E$47*(1+Drivers!$E$48)^2*(1-B$4)^2+Drivers!$E$47*(1+Drivers!$E$48)^3*(1-B$4)^1+Drivers!$E$47*(1+Drivers!$E$48)^4*(1-B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B$4)^4+Drivers!$E$47*(1+Drivers!$E$48)^1*(1-B$4)^3+Drivers!$E$47*(1+Drivers!$E$48)^2*(1-B$4)^2+Drivers!$E$47*(1+Drivers!$E$48)^3*(1-B$4)^1+Drivers!$E$47*(1+Drivers!$E$48)^4*(1-B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B$4)^5+Drivers!$E$47*(1+Drivers!$E$48)^1*(1-B$4)^4+Drivers!$E$47*(1+Drivers!$E$48)^2*(1-B$4)^3+Drivers!$E$47*(1+Drivers!$E$48)^3*(1-B$4)^2+Drivers!$E$47*(1+Drivers!$E$48)^4*(1-B$4)^1+Drivers!$E$47*(1+Drivers!$E$48)^5*(1-B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B$4)^5+Drivers!$E$47*(1+Drivers!$E$48)^1*(1-B$4)^4+Drivers!$E$47*(1+Drivers!$E$48)^2*(1-B$4)^3+Drivers!$E$47*(1+Drivers!$E$48)^3*(1-B$4)^2+Drivers!$E$47*(1+Drivers!$E$48)^4*(1-B$4)^1+Drivers!$E$47*(1+Drivers!$E$48)^5*(1-B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B$4)^6+Drivers!$E$47*(1+Drivers!$E$48)^1*(1-B$4)^5+Drivers!$E$47*(1+Drivers!$E$48)^2*(1-B$4)^4+Drivers!$E$47*(1+Drivers!$E$48)^3*(1-B$4)^3+Drivers!$E$47*(1+Drivers!$E$48)^4*(1-B$4)^2+Drivers!$E$47*(1+Drivers!$E$48)^5*(1-B$4)^1+Drivers!$E$47*(1+Drivers!$E$48)^6*(1-B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B$4)^7+Drivers!$E$47*(1+Drivers!$E$48)^1*(1-B$4)^6+Drivers!$E$47*(1+Drivers!$E$48)^2*(1-B$4)^5+Drivers!$E$47*(1+Drivers!$E$48)^3*(1-B$4)^4+Drivers!$E$47*(1+Drivers!$E$48)^4*(1-B$4)^3+Drivers!$E$47*(1+Drivers!$E$48)^5*(1-B$4)^2+Drivers!$E$47*(1+Drivers!$E$48)^6*(1-B$4)^1+Drivers!$E$47*(1+Drivers!$E$48)^7*(1-B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B$4)^8+Drivers!$E$47*(1+Drivers!$E$48)^1*(1-B$4)^7+Drivers!$E$47*(1+Drivers!$E$48)^2*(1-B$4)^6+Drivers!$E$47*(1+Drivers!$E$48)^3*(1-B$4)^5+Drivers!$E$47*(1+Drivers!$E$48)^4*(1-B$4)^4+Drivers!$E$47*(1+Drivers!$E$48)^5*(1-B$4)^3+Drivers!$E$47*(1+Drivers!$E$48)^6*(1-B$4)^2+Drivers!$E$47*(1+Drivers!$E$48)^7*(1-B$4)^1+Drivers!$E$47*(1+Drivers!$E$48)^8*(1-B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B$4)^9+Drivers!$E$47*(1+Drivers!$E$48)^1*(1-B$4)^8+Drivers!$E$47*(1+Drivers!$E$48)^2*(1-B$4)^7+Drivers!$E$47*(1+Drivers!$E$48)^3*(1-B$4)^6+Drivers!$E$47*(1+Drivers!$E$48)^4*(1-B$4)^5+Drivers!$E$47*(1+Drivers!$E$48)^5*(1-B$4)^4+Drivers!$E$47*(1+Drivers!$E$48)^6*(1-B$4)^3+Drivers!$E$47*(1+Drivers!$E$48)^7*(1-B$4)^2+Drivers!$E$47*(1+Drivers!$E$48)^8*(1-B$4)^1+Drivers!$E$47*(1+Drivers!$E$48)^9*(1-B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(($A$11*Drivers!$B$6+(1-$A$11)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$11*Drivers!$B$5+(1-$A$11)*Drivers!$B$9*Drivers!$B$10)*Drivers!$B$36)+((Drivers!$E$47*(1+Drivers!$E$48)^0*(1-B$4)^10+Drivers!$E$47*(1+Drivers!$E$48)^1*(1-B$4)^9+Drivers!$E$47*(1+Drivers!$E$48)^2*(1-B$4)^8+Drivers!$E$47*(1+Drivers!$E$48)^3*(1-B$4)^7+Drivers!$E$47*(1+Drivers!$E$48)^4*(1-B$4)^6+Drivers!$E$47*(1+Drivers!$E$48)^5*(1-B$4)^5+Drivers!$E$47*(1+Drivers!$E$48)^6*(1-B$4)^4+Drivers!$E$47*(1+Drivers!$E$48)^7*(1-B$4)^3+Drivers!$E$47*(1+Drivers!$E$48)^8*(1-B$4)^2+Drivers!$E$47*(1+Drivers!$E$48)^9*(1-B$4)^1+Drivers!$E$47*(1+Drivers!$E$48)^10*(1-B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(($A$11*Drivers!$B$6+(1-$A$11)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$11*Drivers!$B$5+(1-$A$11)*Drivers!$B$9*Drivers!$B$10)*Drivers!$B$36)+((Drivers!$E$47*(1+Drivers!$E$48)^0*(1-B$4)^11+Drivers!$E$47*(1+Drivers!$E$48)^1*(1-B$4)^10+Drivers!$E$47*(1+Drivers!$E$48)^2*(1-B$4)^9+Drivers!$E$47*(1+Drivers!$E$48)^3*(1-B$4)^8+Drivers!$E$47*(1+Drivers!$E$48)^4*(1-B$4)^7+Drivers!$E$47*(1+Drivers!$E$48)^5*(1-B$4)^6+Drivers!$E$47*(1+Drivers!$E$48)^6*(1-B$4)^5+Drivers!$E$47*(1+Drivers!$E$48)^7*(1-B$4)^4+Drivers!$E$47*(1+Drivers!$E$48)^8*(1-B$4)^3+Drivers!$E$47*(1+Drivers!$E$48)^9*(1-B$4)^2+Drivers!$E$47*(1+Drivers!$E$48)^10*(1-B$4)^1+Drivers!$E$47*(1+Drivers!$E$48)^11*(1-B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Q20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$11*Drivers!$B$6+(1-$A$11)*Drivers!$B$9*Drivers!$B$10)*Drivers!$B$37)+(Drivers!$E$49*(1+Drivers!$E$50)^0*(1-Drivers!$B$14)^0)*(($A$11*Drivers!$B$5+(1-$A$11)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R20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$11*Drivers!$B$6+(1-$A$11)*Drivers!$B$9*Drivers!$B$10)*Drivers!$B$37)+(Drivers!$E$49*(1+Drivers!$E$50)^0*(1-Drivers!$B$14)^0)*(($A$11*Drivers!$B$5+(1-$A$11)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S20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$11*Drivers!$B$6+(1-$A$11)*Drivers!$B$9*Drivers!$B$10)*Drivers!$B$37)+(Drivers!$E$49*(1+Drivers!$E$50)^0*(1-Drivers!$B$14)^0)*(($A$11*Drivers!$B$5+(1-$A$11)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T20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$11*Drivers!$B$6+(1-$A$11)*Drivers!$B$9*Drivers!$B$10)*Drivers!$B$37)+(Drivers!$E$49*(1+Drivers!$E$50)^0*(1-Drivers!$B$14)^0)*(($A$11*Drivers!$B$5+(1-$A$11)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U20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$11*Drivers!$B$6+(1-$A$11)*Drivers!$B$9*Drivers!$B$10)*Drivers!$B$37)+(Drivers!$E$49*(1+Drivers!$E$50)^0*(1-Drivers!$B$14)^0)*(($A$11*Drivers!$B$5+(1-$A$11)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V20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$11*Drivers!$B$6+(1-$A$11)*Drivers!$B$9*Drivers!$B$10)*Drivers!$B$37)+(Drivers!$E$49*(1+Drivers!$E$50)^0*(1-Drivers!$B$14)^0)*(($A$11*Drivers!$B$5+(1-$A$11)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W20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$11*Drivers!$B$6+(1-$A$11)*Drivers!$B$9*Drivers!$B$10)*Drivers!$B$37)+(Drivers!$E$49*(1+Drivers!$E$50)^0*(1-Drivers!$B$14)^0)*(($A$11*Drivers!$B$5+(1-$A$11)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X20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$11*Drivers!$B$6+(1-$A$11)*Drivers!$B$9*Drivers!$B$10)*Drivers!$B$37)+(Drivers!$E$49*(1+Drivers!$E$50)^0*(1-Drivers!$B$14)^0)*(($A$11*Drivers!$B$5+(1-$A$11)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Y20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$11*Drivers!$B$6+(1-$A$11)*Drivers!$B$9*Drivers!$B$10)*Drivers!$B$37)+(Drivers!$E$49*(1+Drivers!$E$50)^0*(1-Drivers!$B$14)^0)*(($A$11*Drivers!$B$5+(1-$A$11)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Z20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$11*Drivers!$B$6+(1-$A$11)*Drivers!$B$9*Drivers!$B$10)*Drivers!$B$37)+(Drivers!$E$49*(1+Drivers!$E$50)^0*(1-Drivers!$B$14)^0)*(($A$11*Drivers!$B$5+(1-$A$11)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AA20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$11*Drivers!$B$6+(1-$A$11)*Drivers!$B$9*Drivers!$B$10)*Drivers!$B$37)+(Drivers!$E$49*(1+Drivers!$E$50)^0*(1-Drivers!$B$14)^0)*(($A$11*Drivers!$B$5+(1-$A$11)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(($A$11*Drivers!$B$6+(1-$A$11)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$11*Drivers!$B$5+(1-$A$11)*Drivers!$B$9*Drivers!$B$10)*Drivers!$B$36)+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AB20" s="20">
        <f>Drivers!$B$39+(((Drivers!$E$47*(1+Drivers!$E$48)^0*(1-C$4)^0)*Drivers!$B$29+(Drivers!$E$49*(1+Drivers!$E$50)^0*(1-Drivers!$B$14)^0)*Drivers!$B$28+Drivers!$E$47*(1+Drivers!$E$48)^0*Drivers!$B$25*Drivers!$B$24)-((Drivers!$E$47*(1+Drivers!$E$48)^0*(1-C$4)^0)*(($A$11*Drivers!$B$6+(1-$A$11)*Drivers!$B$9*Drivers!$B$10)*Drivers!$B$37)+(Drivers!$E$49*(1+Drivers!$E$50)^0*(1-Drivers!$B$14)^0)*(($A$11*Drivers!$B$5+(1-$A$11)*Drivers!$B$9*Drivers!$B$10)*Drivers!$B$36)+((Drivers!$E$47*(1+Drivers!$E$48)^0*(1-C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-((Drivers!$E$47*(1+Drivers!$E$48)^0*(1-C$4)^1+Drivers!$E$47*(1+Drivers!$E$48)^1*(1-C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C$4)^1+Drivers!$E$47*(1+Drivers!$E$48)^1*(1-C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C$4)^2+Drivers!$E$47*(1+Drivers!$E$48)^1*(1-C$4)^1+Drivers!$E$47*(1+Drivers!$E$48)^2*(1-C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C$4)^2+Drivers!$E$47*(1+Drivers!$E$48)^1*(1-C$4)^1+Drivers!$E$47*(1+Drivers!$E$48)^2*(1-C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C$4)^3+Drivers!$E$47*(1+Drivers!$E$48)^1*(1-C$4)^2+Drivers!$E$47*(1+Drivers!$E$48)^2*(1-C$4)^1+Drivers!$E$47*(1+Drivers!$E$48)^3*(1-C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C$4)^3+Drivers!$E$47*(1+Drivers!$E$48)^1*(1-C$4)^2+Drivers!$E$47*(1+Drivers!$E$48)^2*(1-C$4)^1+Drivers!$E$47*(1+Drivers!$E$48)^3*(1-C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C$4)^4+Drivers!$E$47*(1+Drivers!$E$48)^1*(1-C$4)^3+Drivers!$E$47*(1+Drivers!$E$48)^2*(1-C$4)^2+Drivers!$E$47*(1+Drivers!$E$48)^3*(1-C$4)^1+Drivers!$E$47*(1+Drivers!$E$48)^4*(1-C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C$4)^4+Drivers!$E$47*(1+Drivers!$E$48)^1*(1-C$4)^3+Drivers!$E$47*(1+Drivers!$E$48)^2*(1-C$4)^2+Drivers!$E$47*(1+Drivers!$E$48)^3*(1-C$4)^1+Drivers!$E$47*(1+Drivers!$E$48)^4*(1-C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C$4)^5+Drivers!$E$47*(1+Drivers!$E$48)^1*(1-C$4)^4+Drivers!$E$47*(1+Drivers!$E$48)^2*(1-C$4)^3+Drivers!$E$47*(1+Drivers!$E$48)^3*(1-C$4)^2+Drivers!$E$47*(1+Drivers!$E$48)^4*(1-C$4)^1+Drivers!$E$47*(1+Drivers!$E$48)^5*(1-C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C$4)^5+Drivers!$E$47*(1+Drivers!$E$48)^1*(1-C$4)^4+Drivers!$E$47*(1+Drivers!$E$48)^2*(1-C$4)^3+Drivers!$E$47*(1+Drivers!$E$48)^3*(1-C$4)^2+Drivers!$E$47*(1+Drivers!$E$48)^4*(1-C$4)^1+Drivers!$E$47*(1+Drivers!$E$48)^5*(1-C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C$4)^6+Drivers!$E$47*(1+Drivers!$E$48)^1*(1-C$4)^5+Drivers!$E$47*(1+Drivers!$E$48)^2*(1-C$4)^4+Drivers!$E$47*(1+Drivers!$E$48)^3*(1-C$4)^3+Drivers!$E$47*(1+Drivers!$E$48)^4*(1-C$4)^2+Drivers!$E$47*(1+Drivers!$E$48)^5*(1-C$4)^1+Drivers!$E$47*(1+Drivers!$E$48)^6*(1-C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C$4)^7+Drivers!$E$47*(1+Drivers!$E$48)^1*(1-C$4)^6+Drivers!$E$47*(1+Drivers!$E$48)^2*(1-C$4)^5+Drivers!$E$47*(1+Drivers!$E$48)^3*(1-C$4)^4+Drivers!$E$47*(1+Drivers!$E$48)^4*(1-C$4)^3+Drivers!$E$47*(1+Drivers!$E$48)^5*(1-C$4)^2+Drivers!$E$47*(1+Drivers!$E$48)^6*(1-C$4)^1+Drivers!$E$47*(1+Drivers!$E$48)^7*(1-C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C$4)^8+Drivers!$E$47*(1+Drivers!$E$48)^1*(1-C$4)^7+Drivers!$E$47*(1+Drivers!$E$48)^2*(1-C$4)^6+Drivers!$E$47*(1+Drivers!$E$48)^3*(1-C$4)^5+Drivers!$E$47*(1+Drivers!$E$48)^4*(1-C$4)^4+Drivers!$E$47*(1+Drivers!$E$48)^5*(1-C$4)^3+Drivers!$E$47*(1+Drivers!$E$48)^6*(1-C$4)^2+Drivers!$E$47*(1+Drivers!$E$48)^7*(1-C$4)^1+Drivers!$E$47*(1+Drivers!$E$48)^8*(1-C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C$4)^9+Drivers!$E$47*(1+Drivers!$E$48)^1*(1-C$4)^8+Drivers!$E$47*(1+Drivers!$E$48)^2*(1-C$4)^7+Drivers!$E$47*(1+Drivers!$E$48)^3*(1-C$4)^6+Drivers!$E$47*(1+Drivers!$E$48)^4*(1-C$4)^5+Drivers!$E$47*(1+Drivers!$E$48)^5*(1-C$4)^4+Drivers!$E$47*(1+Drivers!$E$48)^6*(1-C$4)^3+Drivers!$E$47*(1+Drivers!$E$48)^7*(1-C$4)^2+Drivers!$E$47*(1+Drivers!$E$48)^8*(1-C$4)^1+Drivers!$E$47*(1+Drivers!$E$48)^9*(1-C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(($A$11*Drivers!$B$6+(1-$A$11)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$11*Drivers!$B$5+(1-$A$11)*Drivers!$B$9*Drivers!$B$10)*Drivers!$B$36)+((Drivers!$E$47*(1+Drivers!$E$48)^0*(1-C$4)^10+Drivers!$E$47*(1+Drivers!$E$48)^1*(1-C$4)^9+Drivers!$E$47*(1+Drivers!$E$48)^2*(1-C$4)^8+Drivers!$E$47*(1+Drivers!$E$48)^3*(1-C$4)^7+Drivers!$E$47*(1+Drivers!$E$48)^4*(1-C$4)^6+Drivers!$E$47*(1+Drivers!$E$48)^5*(1-C$4)^5+Drivers!$E$47*(1+Drivers!$E$48)^6*(1-C$4)^4+Drivers!$E$47*(1+Drivers!$E$48)^7*(1-C$4)^3+Drivers!$E$47*(1+Drivers!$E$48)^8*(1-C$4)^2+Drivers!$E$47*(1+Drivers!$E$48)^9*(1-C$4)^1+Drivers!$E$47*(1+Drivers!$E$48)^10*(1-C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(($A$11*Drivers!$B$6+(1-$A$11)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$11*Drivers!$B$5+(1-$A$11)*Drivers!$B$9*Drivers!$B$10)*Drivers!$B$36)+((Drivers!$E$47*(1+Drivers!$E$48)^0*(1-C$4)^11+Drivers!$E$47*(1+Drivers!$E$48)^1*(1-C$4)^10+Drivers!$E$47*(1+Drivers!$E$48)^2*(1-C$4)^9+Drivers!$E$47*(1+Drivers!$E$48)^3*(1-C$4)^8+Drivers!$E$47*(1+Drivers!$E$48)^4*(1-C$4)^7+Drivers!$E$47*(1+Drivers!$E$48)^5*(1-C$4)^6+Drivers!$E$47*(1+Drivers!$E$48)^6*(1-C$4)^5+Drivers!$E$47*(1+Drivers!$E$48)^7*(1-C$4)^4+Drivers!$E$47*(1+Drivers!$E$48)^8*(1-C$4)^3+Drivers!$E$47*(1+Drivers!$E$48)^9*(1-C$4)^2+Drivers!$E$47*(1+Drivers!$E$48)^10*(1-C$4)^1+Drivers!$E$47*(1+Drivers!$E$48)^11*(1-C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AD20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$11*Drivers!$B$6+(1-$A$11)*Drivers!$B$9*Drivers!$B$10)*Drivers!$B$37)+(Drivers!$E$49*(1+Drivers!$E$50)^0*(1-Drivers!$B$14)^0)*(($A$11*Drivers!$B$5+(1-$A$11)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AE20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$11*Drivers!$B$6+(1-$A$11)*Drivers!$B$9*Drivers!$B$10)*Drivers!$B$37)+(Drivers!$E$49*(1+Drivers!$E$50)^0*(1-Drivers!$B$14)^0)*(($A$11*Drivers!$B$5+(1-$A$11)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AF20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$11*Drivers!$B$6+(1-$A$11)*Drivers!$B$9*Drivers!$B$10)*Drivers!$B$37)+(Drivers!$E$49*(1+Drivers!$E$50)^0*(1-Drivers!$B$14)^0)*(($A$11*Drivers!$B$5+(1-$A$11)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AG20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$11*Drivers!$B$6+(1-$A$11)*Drivers!$B$9*Drivers!$B$10)*Drivers!$B$37)+(Drivers!$E$49*(1+Drivers!$E$50)^0*(1-Drivers!$B$14)^0)*(($A$11*Drivers!$B$5+(1-$A$11)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AH20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$11*Drivers!$B$6+(1-$A$11)*Drivers!$B$9*Drivers!$B$10)*Drivers!$B$37)+(Drivers!$E$49*(1+Drivers!$E$50)^0*(1-Drivers!$B$14)^0)*(($A$11*Drivers!$B$5+(1-$A$11)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AI20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$11*Drivers!$B$6+(1-$A$11)*Drivers!$B$9*Drivers!$B$10)*Drivers!$B$37)+(Drivers!$E$49*(1+Drivers!$E$50)^0*(1-Drivers!$B$14)^0)*(($A$11*Drivers!$B$5+(1-$A$11)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AJ20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$11*Drivers!$B$6+(1-$A$11)*Drivers!$B$9*Drivers!$B$10)*Drivers!$B$37)+(Drivers!$E$49*(1+Drivers!$E$50)^0*(1-Drivers!$B$14)^0)*(($A$11*Drivers!$B$5+(1-$A$11)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AK20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$11*Drivers!$B$6+(1-$A$11)*Drivers!$B$9*Drivers!$B$10)*Drivers!$B$37)+(Drivers!$E$49*(1+Drivers!$E$50)^0*(1-Drivers!$B$14)^0)*(($A$11*Drivers!$B$5+(1-$A$11)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AL20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$11*Drivers!$B$6+(1-$A$11)*Drivers!$B$9*Drivers!$B$10)*Drivers!$B$37)+(Drivers!$E$49*(1+Drivers!$E$50)^0*(1-Drivers!$B$14)^0)*(($A$11*Drivers!$B$5+(1-$A$11)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AM20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$11*Drivers!$B$6+(1-$A$11)*Drivers!$B$9*Drivers!$B$10)*Drivers!$B$37)+(Drivers!$E$49*(1+Drivers!$E$50)^0*(1-Drivers!$B$14)^0)*(($A$11*Drivers!$B$5+(1-$A$11)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AN20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$11*Drivers!$B$6+(1-$A$11)*Drivers!$B$9*Drivers!$B$10)*Drivers!$B$37)+(Drivers!$E$49*(1+Drivers!$E$50)^0*(1-Drivers!$B$14)^0)*(($A$11*Drivers!$B$5+(1-$A$11)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(($A$11*Drivers!$B$6+(1-$A$11)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$11*Drivers!$B$5+(1-$A$11)*Drivers!$B$9*Drivers!$B$10)*Drivers!$B$36)+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AO20" s="20">
        <f>Drivers!$B$39+(((Drivers!$E$47*(1+Drivers!$E$48)^0*(1-D$4)^0)*Drivers!$B$29+(Drivers!$E$49*(1+Drivers!$E$50)^0*(1-Drivers!$B$14)^0)*Drivers!$B$28+Drivers!$E$47*(1+Drivers!$E$48)^0*Drivers!$B$25*Drivers!$B$24)-((Drivers!$E$47*(1+Drivers!$E$48)^0*(1-D$4)^0)*(($A$11*Drivers!$B$6+(1-$A$11)*Drivers!$B$9*Drivers!$B$10)*Drivers!$B$37)+(Drivers!$E$49*(1+Drivers!$E$50)^0*(1-Drivers!$B$14)^0)*(($A$11*Drivers!$B$5+(1-$A$11)*Drivers!$B$9*Drivers!$B$10)*Drivers!$B$36)+((Drivers!$E$47*(1+Drivers!$E$48)^0*(1-D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-((Drivers!$E$47*(1+Drivers!$E$48)^0*(1-D$4)^1+Drivers!$E$47*(1+Drivers!$E$48)^1*(1-D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D$4)^1+Drivers!$E$47*(1+Drivers!$E$48)^1*(1-D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D$4)^2+Drivers!$E$47*(1+Drivers!$E$48)^1*(1-D$4)^1+Drivers!$E$47*(1+Drivers!$E$48)^2*(1-D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D$4)^2+Drivers!$E$47*(1+Drivers!$E$48)^1*(1-D$4)^1+Drivers!$E$47*(1+Drivers!$E$48)^2*(1-D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D$4)^3+Drivers!$E$47*(1+Drivers!$E$48)^1*(1-D$4)^2+Drivers!$E$47*(1+Drivers!$E$48)^2*(1-D$4)^1+Drivers!$E$47*(1+Drivers!$E$48)^3*(1-D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D$4)^3+Drivers!$E$47*(1+Drivers!$E$48)^1*(1-D$4)^2+Drivers!$E$47*(1+Drivers!$E$48)^2*(1-D$4)^1+Drivers!$E$47*(1+Drivers!$E$48)^3*(1-D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D$4)^4+Drivers!$E$47*(1+Drivers!$E$48)^1*(1-D$4)^3+Drivers!$E$47*(1+Drivers!$E$48)^2*(1-D$4)^2+Drivers!$E$47*(1+Drivers!$E$48)^3*(1-D$4)^1+Drivers!$E$47*(1+Drivers!$E$48)^4*(1-D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D$4)^4+Drivers!$E$47*(1+Drivers!$E$48)^1*(1-D$4)^3+Drivers!$E$47*(1+Drivers!$E$48)^2*(1-D$4)^2+Drivers!$E$47*(1+Drivers!$E$48)^3*(1-D$4)^1+Drivers!$E$47*(1+Drivers!$E$48)^4*(1-D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D$4)^5+Drivers!$E$47*(1+Drivers!$E$48)^1*(1-D$4)^4+Drivers!$E$47*(1+Drivers!$E$48)^2*(1-D$4)^3+Drivers!$E$47*(1+Drivers!$E$48)^3*(1-D$4)^2+Drivers!$E$47*(1+Drivers!$E$48)^4*(1-D$4)^1+Drivers!$E$47*(1+Drivers!$E$48)^5*(1-D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D$4)^5+Drivers!$E$47*(1+Drivers!$E$48)^1*(1-D$4)^4+Drivers!$E$47*(1+Drivers!$E$48)^2*(1-D$4)^3+Drivers!$E$47*(1+Drivers!$E$48)^3*(1-D$4)^2+Drivers!$E$47*(1+Drivers!$E$48)^4*(1-D$4)^1+Drivers!$E$47*(1+Drivers!$E$48)^5*(1-D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D$4)^6+Drivers!$E$47*(1+Drivers!$E$48)^1*(1-D$4)^5+Drivers!$E$47*(1+Drivers!$E$48)^2*(1-D$4)^4+Drivers!$E$47*(1+Drivers!$E$48)^3*(1-D$4)^3+Drivers!$E$47*(1+Drivers!$E$48)^4*(1-D$4)^2+Drivers!$E$47*(1+Drivers!$E$48)^5*(1-D$4)^1+Drivers!$E$47*(1+Drivers!$E$48)^6*(1-D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D$4)^7+Drivers!$E$47*(1+Drivers!$E$48)^1*(1-D$4)^6+Drivers!$E$47*(1+Drivers!$E$48)^2*(1-D$4)^5+Drivers!$E$47*(1+Drivers!$E$48)^3*(1-D$4)^4+Drivers!$E$47*(1+Drivers!$E$48)^4*(1-D$4)^3+Drivers!$E$47*(1+Drivers!$E$48)^5*(1-D$4)^2+Drivers!$E$47*(1+Drivers!$E$48)^6*(1-D$4)^1+Drivers!$E$47*(1+Drivers!$E$48)^7*(1-D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D$4)^8+Drivers!$E$47*(1+Drivers!$E$48)^1*(1-D$4)^7+Drivers!$E$47*(1+Drivers!$E$48)^2*(1-D$4)^6+Drivers!$E$47*(1+Drivers!$E$48)^3*(1-D$4)^5+Drivers!$E$47*(1+Drivers!$E$48)^4*(1-D$4)^4+Drivers!$E$47*(1+Drivers!$E$48)^5*(1-D$4)^3+Drivers!$E$47*(1+Drivers!$E$48)^6*(1-D$4)^2+Drivers!$E$47*(1+Drivers!$E$48)^7*(1-D$4)^1+Drivers!$E$47*(1+Drivers!$E$48)^8*(1-D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D$4)^9+Drivers!$E$47*(1+Drivers!$E$48)^1*(1-D$4)^8+Drivers!$E$47*(1+Drivers!$E$48)^2*(1-D$4)^7+Drivers!$E$47*(1+Drivers!$E$48)^3*(1-D$4)^6+Drivers!$E$47*(1+Drivers!$E$48)^4*(1-D$4)^5+Drivers!$E$47*(1+Drivers!$E$48)^5*(1-D$4)^4+Drivers!$E$47*(1+Drivers!$E$48)^6*(1-D$4)^3+Drivers!$E$47*(1+Drivers!$E$48)^7*(1-D$4)^2+Drivers!$E$47*(1+Drivers!$E$48)^8*(1-D$4)^1+Drivers!$E$47*(1+Drivers!$E$48)^9*(1-D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(($A$11*Drivers!$B$6+(1-$A$11)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$11*Drivers!$B$5+(1-$A$11)*Drivers!$B$9*Drivers!$B$10)*Drivers!$B$36)+((Drivers!$E$47*(1+Drivers!$E$48)^0*(1-D$4)^10+Drivers!$E$47*(1+Drivers!$E$48)^1*(1-D$4)^9+Drivers!$E$47*(1+Drivers!$E$48)^2*(1-D$4)^8+Drivers!$E$47*(1+Drivers!$E$48)^3*(1-D$4)^7+Drivers!$E$47*(1+Drivers!$E$48)^4*(1-D$4)^6+Drivers!$E$47*(1+Drivers!$E$48)^5*(1-D$4)^5+Drivers!$E$47*(1+Drivers!$E$48)^6*(1-D$4)^4+Drivers!$E$47*(1+Drivers!$E$48)^7*(1-D$4)^3+Drivers!$E$47*(1+Drivers!$E$48)^8*(1-D$4)^2+Drivers!$E$47*(1+Drivers!$E$48)^9*(1-D$4)^1+Drivers!$E$47*(1+Drivers!$E$48)^10*(1-D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(($A$11*Drivers!$B$6+(1-$A$11)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$11*Drivers!$B$5+(1-$A$11)*Drivers!$B$9*Drivers!$B$10)*Drivers!$B$36)+((Drivers!$E$47*(1+Drivers!$E$48)^0*(1-D$4)^11+Drivers!$E$47*(1+Drivers!$E$48)^1*(1-D$4)^10+Drivers!$E$47*(1+Drivers!$E$48)^2*(1-D$4)^9+Drivers!$E$47*(1+Drivers!$E$48)^3*(1-D$4)^8+Drivers!$E$47*(1+Drivers!$E$48)^4*(1-D$4)^7+Drivers!$E$47*(1+Drivers!$E$48)^5*(1-D$4)^6+Drivers!$E$47*(1+Drivers!$E$48)^6*(1-D$4)^5+Drivers!$E$47*(1+Drivers!$E$48)^7*(1-D$4)^4+Drivers!$E$47*(1+Drivers!$E$48)^8*(1-D$4)^3+Drivers!$E$47*(1+Drivers!$E$48)^9*(1-D$4)^2+Drivers!$E$47*(1+Drivers!$E$48)^10*(1-D$4)^1+Drivers!$E$47*(1+Drivers!$E$48)^11*(1-D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AQ20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$11*Drivers!$B$6+(1-$A$11)*Drivers!$B$9*Drivers!$B$10)*Drivers!$B$37)+(Drivers!$E$49*(1+Drivers!$E$50)^0*(1-Drivers!$B$14)^0)*(($A$11*Drivers!$B$5+(1-$A$11)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AR20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$11*Drivers!$B$6+(1-$A$11)*Drivers!$B$9*Drivers!$B$10)*Drivers!$B$37)+(Drivers!$E$49*(1+Drivers!$E$50)^0*(1-Drivers!$B$14)^0)*(($A$11*Drivers!$B$5+(1-$A$11)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AS20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$11*Drivers!$B$6+(1-$A$11)*Drivers!$B$9*Drivers!$B$10)*Drivers!$B$37)+(Drivers!$E$49*(1+Drivers!$E$50)^0*(1-Drivers!$B$14)^0)*(($A$11*Drivers!$B$5+(1-$A$11)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AT20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$11*Drivers!$B$6+(1-$A$11)*Drivers!$B$9*Drivers!$B$10)*Drivers!$B$37)+(Drivers!$E$49*(1+Drivers!$E$50)^0*(1-Drivers!$B$14)^0)*(($A$11*Drivers!$B$5+(1-$A$11)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AU20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$11*Drivers!$B$6+(1-$A$11)*Drivers!$B$9*Drivers!$B$10)*Drivers!$B$37)+(Drivers!$E$49*(1+Drivers!$E$50)^0*(1-Drivers!$B$14)^0)*(($A$11*Drivers!$B$5+(1-$A$11)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AV20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$11*Drivers!$B$6+(1-$A$11)*Drivers!$B$9*Drivers!$B$10)*Drivers!$B$37)+(Drivers!$E$49*(1+Drivers!$E$50)^0*(1-Drivers!$B$14)^0)*(($A$11*Drivers!$B$5+(1-$A$11)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AW20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$11*Drivers!$B$6+(1-$A$11)*Drivers!$B$9*Drivers!$B$10)*Drivers!$B$37)+(Drivers!$E$49*(1+Drivers!$E$50)^0*(1-Drivers!$B$14)^0)*(($A$11*Drivers!$B$5+(1-$A$11)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AX20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$11*Drivers!$B$6+(1-$A$11)*Drivers!$B$9*Drivers!$B$10)*Drivers!$B$37)+(Drivers!$E$49*(1+Drivers!$E$50)^0*(1-Drivers!$B$14)^0)*(($A$11*Drivers!$B$5+(1-$A$11)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AY20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$11*Drivers!$B$6+(1-$A$11)*Drivers!$B$9*Drivers!$B$10)*Drivers!$B$37)+(Drivers!$E$49*(1+Drivers!$E$50)^0*(1-Drivers!$B$14)^0)*(($A$11*Drivers!$B$5+(1-$A$11)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AZ20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$11*Drivers!$B$6+(1-$A$11)*Drivers!$B$9*Drivers!$B$10)*Drivers!$B$37)+(Drivers!$E$49*(1+Drivers!$E$50)^0*(1-Drivers!$B$14)^0)*(($A$11*Drivers!$B$5+(1-$A$11)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BA20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$11*Drivers!$B$6+(1-$A$11)*Drivers!$B$9*Drivers!$B$10)*Drivers!$B$37)+(Drivers!$E$49*(1+Drivers!$E$50)^0*(1-Drivers!$B$14)^0)*(($A$11*Drivers!$B$5+(1-$A$11)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(($A$11*Drivers!$B$6+(1-$A$11)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$11*Drivers!$B$5+(1-$A$11)*Drivers!$B$9*Drivers!$B$10)*Drivers!$B$36)+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BB20" s="20">
        <f>Drivers!$B$39+(((Drivers!$E$47*(1+Drivers!$E$48)^0*(1-E$4)^0)*Drivers!$B$29+(Drivers!$E$49*(1+Drivers!$E$50)^0*(1-Drivers!$B$14)^0)*Drivers!$B$28+Drivers!$E$47*(1+Drivers!$E$48)^0*Drivers!$B$25*Drivers!$B$24)-((Drivers!$E$47*(1+Drivers!$E$48)^0*(1-E$4)^0)*(($A$11*Drivers!$B$6+(1-$A$11)*Drivers!$B$9*Drivers!$B$10)*Drivers!$B$37)+(Drivers!$E$49*(1+Drivers!$E$50)^0*(1-Drivers!$B$14)^0)*(($A$11*Drivers!$B$5+(1-$A$11)*Drivers!$B$9*Drivers!$B$10)*Drivers!$B$36)+((Drivers!$E$47*(1+Drivers!$E$48)^0*(1-E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-((Drivers!$E$47*(1+Drivers!$E$48)^0*(1-E$4)^1+Drivers!$E$47*(1+Drivers!$E$48)^1*(1-E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E$4)^1+Drivers!$E$47*(1+Drivers!$E$48)^1*(1-E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E$4)^2+Drivers!$E$47*(1+Drivers!$E$48)^1*(1-E$4)^1+Drivers!$E$47*(1+Drivers!$E$48)^2*(1-E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E$4)^2+Drivers!$E$47*(1+Drivers!$E$48)^1*(1-E$4)^1+Drivers!$E$47*(1+Drivers!$E$48)^2*(1-E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E$4)^3+Drivers!$E$47*(1+Drivers!$E$48)^1*(1-E$4)^2+Drivers!$E$47*(1+Drivers!$E$48)^2*(1-E$4)^1+Drivers!$E$47*(1+Drivers!$E$48)^3*(1-E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E$4)^3+Drivers!$E$47*(1+Drivers!$E$48)^1*(1-E$4)^2+Drivers!$E$47*(1+Drivers!$E$48)^2*(1-E$4)^1+Drivers!$E$47*(1+Drivers!$E$48)^3*(1-E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E$4)^4+Drivers!$E$47*(1+Drivers!$E$48)^1*(1-E$4)^3+Drivers!$E$47*(1+Drivers!$E$48)^2*(1-E$4)^2+Drivers!$E$47*(1+Drivers!$E$48)^3*(1-E$4)^1+Drivers!$E$47*(1+Drivers!$E$48)^4*(1-E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E$4)^4+Drivers!$E$47*(1+Drivers!$E$48)^1*(1-E$4)^3+Drivers!$E$47*(1+Drivers!$E$48)^2*(1-E$4)^2+Drivers!$E$47*(1+Drivers!$E$48)^3*(1-E$4)^1+Drivers!$E$47*(1+Drivers!$E$48)^4*(1-E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E$4)^5+Drivers!$E$47*(1+Drivers!$E$48)^1*(1-E$4)^4+Drivers!$E$47*(1+Drivers!$E$48)^2*(1-E$4)^3+Drivers!$E$47*(1+Drivers!$E$48)^3*(1-E$4)^2+Drivers!$E$47*(1+Drivers!$E$48)^4*(1-E$4)^1+Drivers!$E$47*(1+Drivers!$E$48)^5*(1-E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E$4)^5+Drivers!$E$47*(1+Drivers!$E$48)^1*(1-E$4)^4+Drivers!$E$47*(1+Drivers!$E$48)^2*(1-E$4)^3+Drivers!$E$47*(1+Drivers!$E$48)^3*(1-E$4)^2+Drivers!$E$47*(1+Drivers!$E$48)^4*(1-E$4)^1+Drivers!$E$47*(1+Drivers!$E$48)^5*(1-E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E$4)^6+Drivers!$E$47*(1+Drivers!$E$48)^1*(1-E$4)^5+Drivers!$E$47*(1+Drivers!$E$48)^2*(1-E$4)^4+Drivers!$E$47*(1+Drivers!$E$48)^3*(1-E$4)^3+Drivers!$E$47*(1+Drivers!$E$48)^4*(1-E$4)^2+Drivers!$E$47*(1+Drivers!$E$48)^5*(1-E$4)^1+Drivers!$E$47*(1+Drivers!$E$48)^6*(1-E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E$4)^7+Drivers!$E$47*(1+Drivers!$E$48)^1*(1-E$4)^6+Drivers!$E$47*(1+Drivers!$E$48)^2*(1-E$4)^5+Drivers!$E$47*(1+Drivers!$E$48)^3*(1-E$4)^4+Drivers!$E$47*(1+Drivers!$E$48)^4*(1-E$4)^3+Drivers!$E$47*(1+Drivers!$E$48)^5*(1-E$4)^2+Drivers!$E$47*(1+Drivers!$E$48)^6*(1-E$4)^1+Drivers!$E$47*(1+Drivers!$E$48)^7*(1-E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E$4)^8+Drivers!$E$47*(1+Drivers!$E$48)^1*(1-E$4)^7+Drivers!$E$47*(1+Drivers!$E$48)^2*(1-E$4)^6+Drivers!$E$47*(1+Drivers!$E$48)^3*(1-E$4)^5+Drivers!$E$47*(1+Drivers!$E$48)^4*(1-E$4)^4+Drivers!$E$47*(1+Drivers!$E$48)^5*(1-E$4)^3+Drivers!$E$47*(1+Drivers!$E$48)^6*(1-E$4)^2+Drivers!$E$47*(1+Drivers!$E$48)^7*(1-E$4)^1+Drivers!$E$47*(1+Drivers!$E$48)^8*(1-E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E$4)^9+Drivers!$E$47*(1+Drivers!$E$48)^1*(1-E$4)^8+Drivers!$E$47*(1+Drivers!$E$48)^2*(1-E$4)^7+Drivers!$E$47*(1+Drivers!$E$48)^3*(1-E$4)^6+Drivers!$E$47*(1+Drivers!$E$48)^4*(1-E$4)^5+Drivers!$E$47*(1+Drivers!$E$48)^5*(1-E$4)^4+Drivers!$E$47*(1+Drivers!$E$48)^6*(1-E$4)^3+Drivers!$E$47*(1+Drivers!$E$48)^7*(1-E$4)^2+Drivers!$E$47*(1+Drivers!$E$48)^8*(1-E$4)^1+Drivers!$E$47*(1+Drivers!$E$48)^9*(1-E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(($A$11*Drivers!$B$6+(1-$A$11)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$11*Drivers!$B$5+(1-$A$11)*Drivers!$B$9*Drivers!$B$10)*Drivers!$B$36)+((Drivers!$E$47*(1+Drivers!$E$48)^0*(1-E$4)^10+Drivers!$E$47*(1+Drivers!$E$48)^1*(1-E$4)^9+Drivers!$E$47*(1+Drivers!$E$48)^2*(1-E$4)^8+Drivers!$E$47*(1+Drivers!$E$48)^3*(1-E$4)^7+Drivers!$E$47*(1+Drivers!$E$48)^4*(1-E$4)^6+Drivers!$E$47*(1+Drivers!$E$48)^5*(1-E$4)^5+Drivers!$E$47*(1+Drivers!$E$48)^6*(1-E$4)^4+Drivers!$E$47*(1+Drivers!$E$48)^7*(1-E$4)^3+Drivers!$E$47*(1+Drivers!$E$48)^8*(1-E$4)^2+Drivers!$E$47*(1+Drivers!$E$48)^9*(1-E$4)^1+Drivers!$E$47*(1+Drivers!$E$48)^10*(1-E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(($A$11*Drivers!$B$6+(1-$A$11)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$11*Drivers!$B$5+(1-$A$11)*Drivers!$B$9*Drivers!$B$10)*Drivers!$B$36)+((Drivers!$E$47*(1+Drivers!$E$48)^0*(1-E$4)^11+Drivers!$E$47*(1+Drivers!$E$48)^1*(1-E$4)^10+Drivers!$E$47*(1+Drivers!$E$48)^2*(1-E$4)^9+Drivers!$E$47*(1+Drivers!$E$48)^3*(1-E$4)^8+Drivers!$E$47*(1+Drivers!$E$48)^4*(1-E$4)^7+Drivers!$E$47*(1+Drivers!$E$48)^5*(1-E$4)^6+Drivers!$E$47*(1+Drivers!$E$48)^6*(1-E$4)^5+Drivers!$E$47*(1+Drivers!$E$48)^7*(1-E$4)^4+Drivers!$E$47*(1+Drivers!$E$48)^8*(1-E$4)^3+Drivers!$E$47*(1+Drivers!$E$48)^9*(1-E$4)^2+Drivers!$E$47*(1+Drivers!$E$48)^10*(1-E$4)^1+Drivers!$E$47*(1+Drivers!$E$48)^11*(1-E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BD20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$11*Drivers!$B$6+(1-$A$11)*Drivers!$B$9*Drivers!$B$10)*Drivers!$B$37)+(Drivers!$E$49*(1+Drivers!$E$50)^0*(1-Drivers!$B$14)^0)*(($A$11*Drivers!$B$5+(1-$A$11)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BE20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$11*Drivers!$B$6+(1-$A$11)*Drivers!$B$9*Drivers!$B$10)*Drivers!$B$37)+(Drivers!$E$49*(1+Drivers!$E$50)^0*(1-Drivers!$B$14)^0)*(($A$11*Drivers!$B$5+(1-$A$11)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BF20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$11*Drivers!$B$6+(1-$A$11)*Drivers!$B$9*Drivers!$B$10)*Drivers!$B$37)+(Drivers!$E$49*(1+Drivers!$E$50)^0*(1-Drivers!$B$14)^0)*(($A$11*Drivers!$B$5+(1-$A$11)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BG20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$11*Drivers!$B$6+(1-$A$11)*Drivers!$B$9*Drivers!$B$10)*Drivers!$B$37)+(Drivers!$E$49*(1+Drivers!$E$50)^0*(1-Drivers!$B$14)^0)*(($A$11*Drivers!$B$5+(1-$A$11)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BH20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$11*Drivers!$B$6+(1-$A$11)*Drivers!$B$9*Drivers!$B$10)*Drivers!$B$37)+(Drivers!$E$49*(1+Drivers!$E$50)^0*(1-Drivers!$B$14)^0)*(($A$11*Drivers!$B$5+(1-$A$11)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BI20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$11*Drivers!$B$6+(1-$A$11)*Drivers!$B$9*Drivers!$B$10)*Drivers!$B$37)+(Drivers!$E$49*(1+Drivers!$E$50)^0*(1-Drivers!$B$14)^0)*(($A$11*Drivers!$B$5+(1-$A$11)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BJ20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$11*Drivers!$B$6+(1-$A$11)*Drivers!$B$9*Drivers!$B$10)*Drivers!$B$37)+(Drivers!$E$49*(1+Drivers!$E$50)^0*(1-Drivers!$B$14)^0)*(($A$11*Drivers!$B$5+(1-$A$11)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BK20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$11*Drivers!$B$6+(1-$A$11)*Drivers!$B$9*Drivers!$B$10)*Drivers!$B$37)+(Drivers!$E$49*(1+Drivers!$E$50)^0*(1-Drivers!$B$14)^0)*(($A$11*Drivers!$B$5+(1-$A$11)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BL20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$11*Drivers!$B$6+(1-$A$11)*Drivers!$B$9*Drivers!$B$10)*Drivers!$B$37)+(Drivers!$E$49*(1+Drivers!$E$50)^0*(1-Drivers!$B$14)^0)*(($A$11*Drivers!$B$5+(1-$A$11)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BM20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$11*Drivers!$B$6+(1-$A$11)*Drivers!$B$9*Drivers!$B$10)*Drivers!$B$37)+(Drivers!$E$49*(1+Drivers!$E$50)^0*(1-Drivers!$B$14)^0)*(($A$11*Drivers!$B$5+(1-$A$11)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BN20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$11*Drivers!$B$6+(1-$A$11)*Drivers!$B$9*Drivers!$B$10)*Drivers!$B$37)+(Drivers!$E$49*(1+Drivers!$E$50)^0*(1-Drivers!$B$14)^0)*(($A$11*Drivers!$B$5+(1-$A$11)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(($A$11*Drivers!$B$6+(1-$A$11)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$11*Drivers!$B$5+(1-$A$11)*Drivers!$B$9*Drivers!$B$10)*Drivers!$B$36)+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BO20" s="20">
        <f>Drivers!$B$39+(((Drivers!$E$47*(1+Drivers!$E$48)^0*(1-F$4)^0)*Drivers!$B$29+(Drivers!$E$49*(1+Drivers!$E$50)^0*(1-Drivers!$B$14)^0)*Drivers!$B$28+Drivers!$E$47*(1+Drivers!$E$48)^0*Drivers!$B$25*Drivers!$B$24)-((Drivers!$E$47*(1+Drivers!$E$48)^0*(1-F$4)^0)*(($A$11*Drivers!$B$6+(1-$A$11)*Drivers!$B$9*Drivers!$B$10)*Drivers!$B$37)+(Drivers!$E$49*(1+Drivers!$E$50)^0*(1-Drivers!$B$14)^0)*(($A$11*Drivers!$B$5+(1-$A$11)*Drivers!$B$9*Drivers!$B$10)*Drivers!$B$36)+((Drivers!$E$47*(1+Drivers!$E$48)^0*(1-F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-((Drivers!$E$47*(1+Drivers!$E$48)^0*(1-F$4)^1+Drivers!$E$47*(1+Drivers!$E$48)^1*(1-F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F$4)^1+Drivers!$E$47*(1+Drivers!$E$48)^1*(1-F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F$4)^2+Drivers!$E$47*(1+Drivers!$E$48)^1*(1-F$4)^1+Drivers!$E$47*(1+Drivers!$E$48)^2*(1-F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F$4)^2+Drivers!$E$47*(1+Drivers!$E$48)^1*(1-F$4)^1+Drivers!$E$47*(1+Drivers!$E$48)^2*(1-F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F$4)^3+Drivers!$E$47*(1+Drivers!$E$48)^1*(1-F$4)^2+Drivers!$E$47*(1+Drivers!$E$48)^2*(1-F$4)^1+Drivers!$E$47*(1+Drivers!$E$48)^3*(1-F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F$4)^3+Drivers!$E$47*(1+Drivers!$E$48)^1*(1-F$4)^2+Drivers!$E$47*(1+Drivers!$E$48)^2*(1-F$4)^1+Drivers!$E$47*(1+Drivers!$E$48)^3*(1-F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F$4)^4+Drivers!$E$47*(1+Drivers!$E$48)^1*(1-F$4)^3+Drivers!$E$47*(1+Drivers!$E$48)^2*(1-F$4)^2+Drivers!$E$47*(1+Drivers!$E$48)^3*(1-F$4)^1+Drivers!$E$47*(1+Drivers!$E$48)^4*(1-F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F$4)^4+Drivers!$E$47*(1+Drivers!$E$48)^1*(1-F$4)^3+Drivers!$E$47*(1+Drivers!$E$48)^2*(1-F$4)^2+Drivers!$E$47*(1+Drivers!$E$48)^3*(1-F$4)^1+Drivers!$E$47*(1+Drivers!$E$48)^4*(1-F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F$4)^5+Drivers!$E$47*(1+Drivers!$E$48)^1*(1-F$4)^4+Drivers!$E$47*(1+Drivers!$E$48)^2*(1-F$4)^3+Drivers!$E$47*(1+Drivers!$E$48)^3*(1-F$4)^2+Drivers!$E$47*(1+Drivers!$E$48)^4*(1-F$4)^1+Drivers!$E$47*(1+Drivers!$E$48)^5*(1-F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F$4)^5+Drivers!$E$47*(1+Drivers!$E$48)^1*(1-F$4)^4+Drivers!$E$47*(1+Drivers!$E$48)^2*(1-F$4)^3+Drivers!$E$47*(1+Drivers!$E$48)^3*(1-F$4)^2+Drivers!$E$47*(1+Drivers!$E$48)^4*(1-F$4)^1+Drivers!$E$47*(1+Drivers!$E$48)^5*(1-F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F$4)^6+Drivers!$E$47*(1+Drivers!$E$48)^1*(1-F$4)^5+Drivers!$E$47*(1+Drivers!$E$48)^2*(1-F$4)^4+Drivers!$E$47*(1+Drivers!$E$48)^3*(1-F$4)^3+Drivers!$E$47*(1+Drivers!$E$48)^4*(1-F$4)^2+Drivers!$E$47*(1+Drivers!$E$48)^5*(1-F$4)^1+Drivers!$E$47*(1+Drivers!$E$48)^6*(1-F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F$4)^7+Drivers!$E$47*(1+Drivers!$E$48)^1*(1-F$4)^6+Drivers!$E$47*(1+Drivers!$E$48)^2*(1-F$4)^5+Drivers!$E$47*(1+Drivers!$E$48)^3*(1-F$4)^4+Drivers!$E$47*(1+Drivers!$E$48)^4*(1-F$4)^3+Drivers!$E$47*(1+Drivers!$E$48)^5*(1-F$4)^2+Drivers!$E$47*(1+Drivers!$E$48)^6*(1-F$4)^1+Drivers!$E$47*(1+Drivers!$E$48)^7*(1-F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F$4)^8+Drivers!$E$47*(1+Drivers!$E$48)^1*(1-F$4)^7+Drivers!$E$47*(1+Drivers!$E$48)^2*(1-F$4)^6+Drivers!$E$47*(1+Drivers!$E$48)^3*(1-F$4)^5+Drivers!$E$47*(1+Drivers!$E$48)^4*(1-F$4)^4+Drivers!$E$47*(1+Drivers!$E$48)^5*(1-F$4)^3+Drivers!$E$47*(1+Drivers!$E$48)^6*(1-F$4)^2+Drivers!$E$47*(1+Drivers!$E$48)^7*(1-F$4)^1+Drivers!$E$47*(1+Drivers!$E$48)^8*(1-F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F$4)^9+Drivers!$E$47*(1+Drivers!$E$48)^1*(1-F$4)^8+Drivers!$E$47*(1+Drivers!$E$48)^2*(1-F$4)^7+Drivers!$E$47*(1+Drivers!$E$48)^3*(1-F$4)^6+Drivers!$E$47*(1+Drivers!$E$48)^4*(1-F$4)^5+Drivers!$E$47*(1+Drivers!$E$48)^5*(1-F$4)^4+Drivers!$E$47*(1+Drivers!$E$48)^6*(1-F$4)^3+Drivers!$E$47*(1+Drivers!$E$48)^7*(1-F$4)^2+Drivers!$E$47*(1+Drivers!$E$48)^8*(1-F$4)^1+Drivers!$E$47*(1+Drivers!$E$48)^9*(1-F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(($A$11*Drivers!$B$6+(1-$A$11)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$11*Drivers!$B$5+(1-$A$11)*Drivers!$B$9*Drivers!$B$10)*Drivers!$B$36)+((Drivers!$E$47*(1+Drivers!$E$48)^0*(1-F$4)^10+Drivers!$E$47*(1+Drivers!$E$48)^1*(1-F$4)^9+Drivers!$E$47*(1+Drivers!$E$48)^2*(1-F$4)^8+Drivers!$E$47*(1+Drivers!$E$48)^3*(1-F$4)^7+Drivers!$E$47*(1+Drivers!$E$48)^4*(1-F$4)^6+Drivers!$E$47*(1+Drivers!$E$48)^5*(1-F$4)^5+Drivers!$E$47*(1+Drivers!$E$48)^6*(1-F$4)^4+Drivers!$E$47*(1+Drivers!$E$48)^7*(1-F$4)^3+Drivers!$E$47*(1+Drivers!$E$48)^8*(1-F$4)^2+Drivers!$E$47*(1+Drivers!$E$48)^9*(1-F$4)^1+Drivers!$E$47*(1+Drivers!$E$48)^10*(1-F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(($A$11*Drivers!$B$6+(1-$A$11)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$11*Drivers!$B$5+(1-$A$11)*Drivers!$B$9*Drivers!$B$10)*Drivers!$B$36)+((Drivers!$E$47*(1+Drivers!$E$48)^0*(1-F$4)^11+Drivers!$E$47*(1+Drivers!$E$48)^1*(1-F$4)^10+Drivers!$E$47*(1+Drivers!$E$48)^2*(1-F$4)^9+Drivers!$E$47*(1+Drivers!$E$48)^3*(1-F$4)^8+Drivers!$E$47*(1+Drivers!$E$48)^4*(1-F$4)^7+Drivers!$E$47*(1+Drivers!$E$48)^5*(1-F$4)^6+Drivers!$E$47*(1+Drivers!$E$48)^6*(1-F$4)^5+Drivers!$E$47*(1+Drivers!$E$48)^7*(1-F$4)^4+Drivers!$E$47*(1+Drivers!$E$48)^8*(1-F$4)^3+Drivers!$E$47*(1+Drivers!$E$48)^9*(1-F$4)^2+Drivers!$E$47*(1+Drivers!$E$48)^10*(1-F$4)^1+Drivers!$E$47*(1+Drivers!$E$48)^11*(1-F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BQ20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$11*Drivers!$B$6+(1-$A$11)*Drivers!$B$9*Drivers!$B$10)*Drivers!$B$37)+(Drivers!$E$49*(1+Drivers!$E$50)^0*(1-Drivers!$B$14)^0)*(($A$11*Drivers!$B$5+(1-$A$11)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BR20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$11*Drivers!$B$6+(1-$A$11)*Drivers!$B$9*Drivers!$B$10)*Drivers!$B$37)+(Drivers!$E$49*(1+Drivers!$E$50)^0*(1-Drivers!$B$14)^0)*(($A$11*Drivers!$B$5+(1-$A$11)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BS20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$11*Drivers!$B$6+(1-$A$11)*Drivers!$B$9*Drivers!$B$10)*Drivers!$B$37)+(Drivers!$E$49*(1+Drivers!$E$50)^0*(1-Drivers!$B$14)^0)*(($A$11*Drivers!$B$5+(1-$A$11)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BT20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$11*Drivers!$B$6+(1-$A$11)*Drivers!$B$9*Drivers!$B$10)*Drivers!$B$37)+(Drivers!$E$49*(1+Drivers!$E$50)^0*(1-Drivers!$B$14)^0)*(($A$11*Drivers!$B$5+(1-$A$11)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BU20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$11*Drivers!$B$6+(1-$A$11)*Drivers!$B$9*Drivers!$B$10)*Drivers!$B$37)+(Drivers!$E$49*(1+Drivers!$E$50)^0*(1-Drivers!$B$14)^0)*(($A$11*Drivers!$B$5+(1-$A$11)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BV20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$11*Drivers!$B$6+(1-$A$11)*Drivers!$B$9*Drivers!$B$10)*Drivers!$B$37)+(Drivers!$E$49*(1+Drivers!$E$50)^0*(1-Drivers!$B$14)^0)*(($A$11*Drivers!$B$5+(1-$A$11)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BW20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$11*Drivers!$B$6+(1-$A$11)*Drivers!$B$9*Drivers!$B$10)*Drivers!$B$37)+(Drivers!$E$49*(1+Drivers!$E$50)^0*(1-Drivers!$B$14)^0)*(($A$11*Drivers!$B$5+(1-$A$11)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BX20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$11*Drivers!$B$6+(1-$A$11)*Drivers!$B$9*Drivers!$B$10)*Drivers!$B$37)+(Drivers!$E$49*(1+Drivers!$E$50)^0*(1-Drivers!$B$14)^0)*(($A$11*Drivers!$B$5+(1-$A$11)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BY20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$11*Drivers!$B$6+(1-$A$11)*Drivers!$B$9*Drivers!$B$10)*Drivers!$B$37)+(Drivers!$E$49*(1+Drivers!$E$50)^0*(1-Drivers!$B$14)^0)*(($A$11*Drivers!$B$5+(1-$A$11)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BZ20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$11*Drivers!$B$6+(1-$A$11)*Drivers!$B$9*Drivers!$B$10)*Drivers!$B$37)+(Drivers!$E$49*(1+Drivers!$E$50)^0*(1-Drivers!$B$14)^0)*(($A$11*Drivers!$B$5+(1-$A$11)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CA20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$11*Drivers!$B$6+(1-$A$11)*Drivers!$B$9*Drivers!$B$10)*Drivers!$B$37)+(Drivers!$E$49*(1+Drivers!$E$50)^0*(1-Drivers!$B$14)^0)*(($A$11*Drivers!$B$5+(1-$A$11)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(($A$11*Drivers!$B$6+(1-$A$11)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$11*Drivers!$B$5+(1-$A$11)*Drivers!$B$9*Drivers!$B$10)*Drivers!$B$36)+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CB20" s="20">
        <f>Drivers!$B$39+(((Drivers!$E$47*(1+Drivers!$E$48)^0*(1-G$4)^0)*Drivers!$B$29+(Drivers!$E$49*(1+Drivers!$E$50)^0*(1-Drivers!$B$14)^0)*Drivers!$B$28+Drivers!$E$47*(1+Drivers!$E$48)^0*Drivers!$B$25*Drivers!$B$24)-((Drivers!$E$47*(1+Drivers!$E$48)^0*(1-G$4)^0)*(($A$11*Drivers!$B$6+(1-$A$11)*Drivers!$B$9*Drivers!$B$10)*Drivers!$B$37)+(Drivers!$E$49*(1+Drivers!$E$50)^0*(1-Drivers!$B$14)^0)*(($A$11*Drivers!$B$5+(1-$A$11)*Drivers!$B$9*Drivers!$B$10)*Drivers!$B$36)+((Drivers!$E$47*(1+Drivers!$E$48)^0*(1-G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-((Drivers!$E$47*(1+Drivers!$E$48)^0*(1-G$4)^1+Drivers!$E$47*(1+Drivers!$E$48)^1*(1-G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G$4)^1+Drivers!$E$47*(1+Drivers!$E$48)^1*(1-G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G$4)^2+Drivers!$E$47*(1+Drivers!$E$48)^1*(1-G$4)^1+Drivers!$E$47*(1+Drivers!$E$48)^2*(1-G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G$4)^2+Drivers!$E$47*(1+Drivers!$E$48)^1*(1-G$4)^1+Drivers!$E$47*(1+Drivers!$E$48)^2*(1-G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G$4)^3+Drivers!$E$47*(1+Drivers!$E$48)^1*(1-G$4)^2+Drivers!$E$47*(1+Drivers!$E$48)^2*(1-G$4)^1+Drivers!$E$47*(1+Drivers!$E$48)^3*(1-G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G$4)^3+Drivers!$E$47*(1+Drivers!$E$48)^1*(1-G$4)^2+Drivers!$E$47*(1+Drivers!$E$48)^2*(1-G$4)^1+Drivers!$E$47*(1+Drivers!$E$48)^3*(1-G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G$4)^4+Drivers!$E$47*(1+Drivers!$E$48)^1*(1-G$4)^3+Drivers!$E$47*(1+Drivers!$E$48)^2*(1-G$4)^2+Drivers!$E$47*(1+Drivers!$E$48)^3*(1-G$4)^1+Drivers!$E$47*(1+Drivers!$E$48)^4*(1-G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G$4)^4+Drivers!$E$47*(1+Drivers!$E$48)^1*(1-G$4)^3+Drivers!$E$47*(1+Drivers!$E$48)^2*(1-G$4)^2+Drivers!$E$47*(1+Drivers!$E$48)^3*(1-G$4)^1+Drivers!$E$47*(1+Drivers!$E$48)^4*(1-G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G$4)^5+Drivers!$E$47*(1+Drivers!$E$48)^1*(1-G$4)^4+Drivers!$E$47*(1+Drivers!$E$48)^2*(1-G$4)^3+Drivers!$E$47*(1+Drivers!$E$48)^3*(1-G$4)^2+Drivers!$E$47*(1+Drivers!$E$48)^4*(1-G$4)^1+Drivers!$E$47*(1+Drivers!$E$48)^5*(1-G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G$4)^5+Drivers!$E$47*(1+Drivers!$E$48)^1*(1-G$4)^4+Drivers!$E$47*(1+Drivers!$E$48)^2*(1-G$4)^3+Drivers!$E$47*(1+Drivers!$E$48)^3*(1-G$4)^2+Drivers!$E$47*(1+Drivers!$E$48)^4*(1-G$4)^1+Drivers!$E$47*(1+Drivers!$E$48)^5*(1-G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G$4)^6+Drivers!$E$47*(1+Drivers!$E$48)^1*(1-G$4)^5+Drivers!$E$47*(1+Drivers!$E$48)^2*(1-G$4)^4+Drivers!$E$47*(1+Drivers!$E$48)^3*(1-G$4)^3+Drivers!$E$47*(1+Drivers!$E$48)^4*(1-G$4)^2+Drivers!$E$47*(1+Drivers!$E$48)^5*(1-G$4)^1+Drivers!$E$47*(1+Drivers!$E$48)^6*(1-G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G$4)^7+Drivers!$E$47*(1+Drivers!$E$48)^1*(1-G$4)^6+Drivers!$E$47*(1+Drivers!$E$48)^2*(1-G$4)^5+Drivers!$E$47*(1+Drivers!$E$48)^3*(1-G$4)^4+Drivers!$E$47*(1+Drivers!$E$48)^4*(1-G$4)^3+Drivers!$E$47*(1+Drivers!$E$48)^5*(1-G$4)^2+Drivers!$E$47*(1+Drivers!$E$48)^6*(1-G$4)^1+Drivers!$E$47*(1+Drivers!$E$48)^7*(1-G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G$4)^8+Drivers!$E$47*(1+Drivers!$E$48)^1*(1-G$4)^7+Drivers!$E$47*(1+Drivers!$E$48)^2*(1-G$4)^6+Drivers!$E$47*(1+Drivers!$E$48)^3*(1-G$4)^5+Drivers!$E$47*(1+Drivers!$E$48)^4*(1-G$4)^4+Drivers!$E$47*(1+Drivers!$E$48)^5*(1-G$4)^3+Drivers!$E$47*(1+Drivers!$E$48)^6*(1-G$4)^2+Drivers!$E$47*(1+Drivers!$E$48)^7*(1-G$4)^1+Drivers!$E$47*(1+Drivers!$E$48)^8*(1-G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G$4)^9+Drivers!$E$47*(1+Drivers!$E$48)^1*(1-G$4)^8+Drivers!$E$47*(1+Drivers!$E$48)^2*(1-G$4)^7+Drivers!$E$47*(1+Drivers!$E$48)^3*(1-G$4)^6+Drivers!$E$47*(1+Drivers!$E$48)^4*(1-G$4)^5+Drivers!$E$47*(1+Drivers!$E$48)^5*(1-G$4)^4+Drivers!$E$47*(1+Drivers!$E$48)^6*(1-G$4)^3+Drivers!$E$47*(1+Drivers!$E$48)^7*(1-G$4)^2+Drivers!$E$47*(1+Drivers!$E$48)^8*(1-G$4)^1+Drivers!$E$47*(1+Drivers!$E$48)^9*(1-G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(($A$11*Drivers!$B$6+(1-$A$11)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$11*Drivers!$B$5+(1-$A$11)*Drivers!$B$9*Drivers!$B$10)*Drivers!$B$36)+((Drivers!$E$47*(1+Drivers!$E$48)^0*(1-G$4)^10+Drivers!$E$47*(1+Drivers!$E$48)^1*(1-G$4)^9+Drivers!$E$47*(1+Drivers!$E$48)^2*(1-G$4)^8+Drivers!$E$47*(1+Drivers!$E$48)^3*(1-G$4)^7+Drivers!$E$47*(1+Drivers!$E$48)^4*(1-G$4)^6+Drivers!$E$47*(1+Drivers!$E$48)^5*(1-G$4)^5+Drivers!$E$47*(1+Drivers!$E$48)^6*(1-G$4)^4+Drivers!$E$47*(1+Drivers!$E$48)^7*(1-G$4)^3+Drivers!$E$47*(1+Drivers!$E$48)^8*(1-G$4)^2+Drivers!$E$47*(1+Drivers!$E$48)^9*(1-G$4)^1+Drivers!$E$47*(1+Drivers!$E$48)^10*(1-G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(($A$11*Drivers!$B$6+(1-$A$11)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$11*Drivers!$B$5+(1-$A$11)*Drivers!$B$9*Drivers!$B$10)*Drivers!$B$36)+((Drivers!$E$47*(1+Drivers!$E$48)^0*(1-G$4)^11+Drivers!$E$47*(1+Drivers!$E$48)^1*(1-G$4)^10+Drivers!$E$47*(1+Drivers!$E$48)^2*(1-G$4)^9+Drivers!$E$47*(1+Drivers!$E$48)^3*(1-G$4)^8+Drivers!$E$47*(1+Drivers!$E$48)^4*(1-G$4)^7+Drivers!$E$47*(1+Drivers!$E$48)^5*(1-G$4)^6+Drivers!$E$47*(1+Drivers!$E$48)^6*(1-G$4)^5+Drivers!$E$47*(1+Drivers!$E$48)^7*(1-G$4)^4+Drivers!$E$47*(1+Drivers!$E$48)^8*(1-G$4)^3+Drivers!$E$47*(1+Drivers!$E$48)^9*(1-G$4)^2+Drivers!$E$47*(1+Drivers!$E$48)^10*(1-G$4)^1+Drivers!$E$47*(1+Drivers!$E$48)^11*(1-G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  <c r="CD20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$11*Drivers!$B$6+(1-$A$11)*Drivers!$B$9*Drivers!$B$10)*Drivers!$B$37)+(Drivers!$E$49*(1+Drivers!$E$50)^0*(1-Drivers!$B$14)^0)*(($A$11*Drivers!$B$5+(1-$A$11)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</f>
        <v/>
      </c>
      <c r="CE20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$11*Drivers!$B$6+(1-$A$11)*Drivers!$B$9*Drivers!$B$10)*Drivers!$B$37)+(Drivers!$E$49*(1+Drivers!$E$50)^0*(1-Drivers!$B$14)^0)*(($A$11*Drivers!$B$5+(1-$A$11)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</f>
        <v/>
      </c>
      <c r="CF20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$11*Drivers!$B$6+(1-$A$11)*Drivers!$B$9*Drivers!$B$10)*Drivers!$B$37)+(Drivers!$E$49*(1+Drivers!$E$50)^0*(1-Drivers!$B$14)^0)*(($A$11*Drivers!$B$5+(1-$A$11)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</f>
        <v/>
      </c>
      <c r="CG20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$11*Drivers!$B$6+(1-$A$11)*Drivers!$B$9*Drivers!$B$10)*Drivers!$B$37)+(Drivers!$E$49*(1+Drivers!$E$50)^0*(1-Drivers!$B$14)^0)*(($A$11*Drivers!$B$5+(1-$A$11)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</f>
        <v/>
      </c>
      <c r="CH20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$11*Drivers!$B$6+(1-$A$11)*Drivers!$B$9*Drivers!$B$10)*Drivers!$B$37)+(Drivers!$E$49*(1+Drivers!$E$50)^0*(1-Drivers!$B$14)^0)*(($A$11*Drivers!$B$5+(1-$A$11)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</f>
        <v/>
      </c>
      <c r="CI20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$11*Drivers!$B$6+(1-$A$11)*Drivers!$B$9*Drivers!$B$10)*Drivers!$B$37)+(Drivers!$E$49*(1+Drivers!$E$50)^0*(1-Drivers!$B$14)^0)*(($A$11*Drivers!$B$5+(1-$A$11)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</f>
        <v/>
      </c>
      <c r="CJ20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$11*Drivers!$B$6+(1-$A$11)*Drivers!$B$9*Drivers!$B$10)*Drivers!$B$37)+(Drivers!$E$49*(1+Drivers!$E$50)^0*(1-Drivers!$B$14)^0)*(($A$11*Drivers!$B$5+(1-$A$11)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</f>
        <v/>
      </c>
      <c r="CK20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$11*Drivers!$B$6+(1-$A$11)*Drivers!$B$9*Drivers!$B$10)*Drivers!$B$37)+(Drivers!$E$49*(1+Drivers!$E$50)^0*(1-Drivers!$B$14)^0)*(($A$11*Drivers!$B$5+(1-$A$11)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</f>
        <v/>
      </c>
      <c r="CL20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$11*Drivers!$B$6+(1-$A$11)*Drivers!$B$9*Drivers!$B$10)*Drivers!$B$37)+(Drivers!$E$49*(1+Drivers!$E$50)^0*(1-Drivers!$B$14)^0)*(($A$11*Drivers!$B$5+(1-$A$11)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</f>
        <v/>
      </c>
      <c r="CM20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$11*Drivers!$B$6+(1-$A$11)*Drivers!$B$9*Drivers!$B$10)*Drivers!$B$37)+(Drivers!$E$49*(1+Drivers!$E$50)^0*(1-Drivers!$B$14)^0)*(($A$11*Drivers!$B$5+(1-$A$11)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</f>
        <v/>
      </c>
      <c r="CN20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$11*Drivers!$B$6+(1-$A$11)*Drivers!$B$9*Drivers!$B$10)*Drivers!$B$37)+(Drivers!$E$49*(1+Drivers!$E$50)^0*(1-Drivers!$B$14)^0)*(($A$11*Drivers!$B$5+(1-$A$11)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(($A$11*Drivers!$B$6+(1-$A$11)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$11*Drivers!$B$5+(1-$A$11)*Drivers!$B$9*Drivers!$B$10)*Drivers!$B$36)+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</f>
        <v/>
      </c>
      <c r="CO20" s="20">
        <f>Drivers!$B$39+(((Drivers!$E$47*(1+Drivers!$E$48)^0*(1-H$4)^0)*Drivers!$B$29+(Drivers!$E$49*(1+Drivers!$E$50)^0*(1-Drivers!$B$14)^0)*Drivers!$B$28+Drivers!$E$47*(1+Drivers!$E$48)^0*Drivers!$B$25*Drivers!$B$24)-((Drivers!$E$47*(1+Drivers!$E$48)^0*(1-H$4)^0)*(($A$11*Drivers!$B$6+(1-$A$11)*Drivers!$B$9*Drivers!$B$10)*Drivers!$B$37)+(Drivers!$E$49*(1+Drivers!$E$50)^0*(1-Drivers!$B$14)^0)*(($A$11*Drivers!$B$5+(1-$A$11)*Drivers!$B$9*Drivers!$B$10)*Drivers!$B$36)+((Drivers!$E$47*(1+Drivers!$E$48)^0*(1-H$4)^0)*Drivers!$B$29+(Drivers!$E$49*(1+Drivers!$E$50)^0*(1-Drivers!$B$14)^0)*Drivers!$B$28+Drivers!$E$47*(1+Drivers!$E$48)^0*Drivers!$B$25*Drivers!$B$24)*Drivers!$B$16)-(Drivers!$E$47*(1+Drivers!$E$48)^0*Drivers!$B$33*Drivers!$E$52+Drivers!$E$49*(1+Drivers!$E$50)^0*Drivers!$B$32*Drivers!$E$52)-(Drivers!$B$11+Drivers!$B$38+Drivers!$B$40))+(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-((Drivers!$E$47*(1+Drivers!$E$48)^0*(1-H$4)^1+Drivers!$E$47*(1+Drivers!$E$48)^1*(1-H$4)^0)*(($A$11*Drivers!$B$6+(1-$A$11)*Drivers!$B$9*Drivers!$B$10)*Drivers!$B$37)+(Drivers!$E$49*(1+Drivers!$E$50)^0*(1-Drivers!$B$14)^1+Drivers!$E$49*(1+Drivers!$E$50)^1*(1-Drivers!$B$14)^0)*(($A$11*Drivers!$B$5+(1-$A$11)*Drivers!$B$9*Drivers!$B$10)*Drivers!$B$36)+((Drivers!$E$47*(1+Drivers!$E$48)^0*(1-H$4)^1+Drivers!$E$47*(1+Drivers!$E$48)^1*(1-H$4)^0)*Drivers!$B$29+(Drivers!$E$49*(1+Drivers!$E$50)^0*(1-Drivers!$B$14)^1+Drivers!$E$49*(1+Drivers!$E$50)^1*(1-Drivers!$B$14)^0)*Drivers!$B$28+Drivers!$E$47*(1+Drivers!$E$48)^1*Drivers!$B$25*Drivers!$B$24)*Drivers!$B$16)-(Drivers!$E$47*(1+Drivers!$E$48)^1*Drivers!$B$33*Drivers!$E$52+Drivers!$E$49*(1+Drivers!$E$50)^1*Drivers!$B$32*Drivers!$E$52)-(Drivers!$B$11+Drivers!$B$38+Drivers!$B$40))+(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-((Drivers!$E$47*(1+Drivers!$E$48)^0*(1-H$4)^2+Drivers!$E$47*(1+Drivers!$E$48)^1*(1-H$4)^1+Drivers!$E$47*(1+Drivers!$E$48)^2*(1-H$4)^0)*(($A$11*Drivers!$B$6+(1-$A$11)*Drivers!$B$9*Drivers!$B$10)*Drivers!$B$37)+(Drivers!$E$49*(1+Drivers!$E$50)^0*(1-Drivers!$B$14)^2+Drivers!$E$49*(1+Drivers!$E$50)^1*(1-Drivers!$B$14)^1+Drivers!$E$49*(1+Drivers!$E$50)^2*(1-Drivers!$B$14)^0)*(($A$11*Drivers!$B$5+(1-$A$11)*Drivers!$B$9*Drivers!$B$10)*Drivers!$B$36)+((Drivers!$E$47*(1+Drivers!$E$48)^0*(1-H$4)^2+Drivers!$E$47*(1+Drivers!$E$48)^1*(1-H$4)^1+Drivers!$E$47*(1+Drivers!$E$48)^2*(1-H$4)^0)*Drivers!$B$29+(Drivers!$E$49*(1+Drivers!$E$50)^0*(1-Drivers!$B$14)^2+Drivers!$E$49*(1+Drivers!$E$50)^1*(1-Drivers!$B$14)^1+Drivers!$E$49*(1+Drivers!$E$50)^2*(1-Drivers!$B$14)^0)*Drivers!$B$28+Drivers!$E$47*(1+Drivers!$E$48)^2*Drivers!$B$25*Drivers!$B$24)*Drivers!$B$16)-(Drivers!$E$47*(1+Drivers!$E$48)^2*Drivers!$B$33*Drivers!$E$52+Drivers!$E$49*(1+Drivers!$E$50)^2*Drivers!$B$32*Drivers!$E$52)-(Drivers!$B$11+Drivers!$B$38+Drivers!$B$40))+(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-((Drivers!$E$47*(1+Drivers!$E$48)^0*(1-H$4)^3+Drivers!$E$47*(1+Drivers!$E$48)^1*(1-H$4)^2+Drivers!$E$47*(1+Drivers!$E$48)^2*(1-H$4)^1+Drivers!$E$47*(1+Drivers!$E$48)^3*(1-H$4)^0)*(($A$11*Drivers!$B$6+(1-$A$11)*Drivers!$B$9*Drivers!$B$10)*Drivers!$B$37)+(Drivers!$E$49*(1+Drivers!$E$50)^0*(1-Drivers!$B$14)^3+Drivers!$E$49*(1+Drivers!$E$50)^1*(1-Drivers!$B$14)^2+Drivers!$E$49*(1+Drivers!$E$50)^2*(1-Drivers!$B$14)^1+Drivers!$E$49*(1+Drivers!$E$50)^3*(1-Drivers!$B$14)^0)*(($A$11*Drivers!$B$5+(1-$A$11)*Drivers!$B$9*Drivers!$B$10)*Drivers!$B$36)+((Drivers!$E$47*(1+Drivers!$E$48)^0*(1-H$4)^3+Drivers!$E$47*(1+Drivers!$E$48)^1*(1-H$4)^2+Drivers!$E$47*(1+Drivers!$E$48)^2*(1-H$4)^1+Drivers!$E$47*(1+Drivers!$E$48)^3*(1-H$4)^0)*Drivers!$B$29+(Drivers!$E$49*(1+Drivers!$E$50)^0*(1-Drivers!$B$14)^3+Drivers!$E$49*(1+Drivers!$E$50)^1*(1-Drivers!$B$14)^2+Drivers!$E$49*(1+Drivers!$E$50)^2*(1-Drivers!$B$14)^1+Drivers!$E$49*(1+Drivers!$E$50)^3*(1-Drivers!$B$14)^0)*Drivers!$B$28+Drivers!$E$47*(1+Drivers!$E$48)^3*Drivers!$B$25*Drivers!$B$24)*Drivers!$B$16)-(Drivers!$E$47*(1+Drivers!$E$48)^3*Drivers!$B$33*Drivers!$E$52+Drivers!$E$49*(1+Drivers!$E$50)^3*Drivers!$B$32*Drivers!$E$52)-(Drivers!$B$11+Drivers!$B$38+Drivers!$B$40))+(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-((Drivers!$E$47*(1+Drivers!$E$48)^0*(1-H$4)^4+Drivers!$E$47*(1+Drivers!$E$48)^1*(1-H$4)^3+Drivers!$E$47*(1+Drivers!$E$48)^2*(1-H$4)^2+Drivers!$E$47*(1+Drivers!$E$48)^3*(1-H$4)^1+Drivers!$E$47*(1+Drivers!$E$48)^4*(1-H$4)^0)*(($A$11*Drivers!$B$6+(1-$A$11)*Drivers!$B$9*Drivers!$B$10)*Drivers!$B$37)+(Drivers!$E$49*(1+Drivers!$E$50)^0*(1-Drivers!$B$14)^4+Drivers!$E$49*(1+Drivers!$E$50)^1*(1-Drivers!$B$14)^3+Drivers!$E$49*(1+Drivers!$E$50)^2*(1-Drivers!$B$14)^2+Drivers!$E$49*(1+Drivers!$E$50)^3*(1-Drivers!$B$14)^1+Drivers!$E$49*(1+Drivers!$E$50)^4*(1-Drivers!$B$14)^0)*(($A$11*Drivers!$B$5+(1-$A$11)*Drivers!$B$9*Drivers!$B$10)*Drivers!$B$36)+((Drivers!$E$47*(1+Drivers!$E$48)^0*(1-H$4)^4+Drivers!$E$47*(1+Drivers!$E$48)^1*(1-H$4)^3+Drivers!$E$47*(1+Drivers!$E$48)^2*(1-H$4)^2+Drivers!$E$47*(1+Drivers!$E$48)^3*(1-H$4)^1+Drivers!$E$47*(1+Drivers!$E$48)^4*(1-H$4)^0)*Drivers!$B$29+(Drivers!$E$49*(1+Drivers!$E$50)^0*(1-Drivers!$B$14)^4+Drivers!$E$49*(1+Drivers!$E$50)^1*(1-Drivers!$B$14)^3+Drivers!$E$49*(1+Drivers!$E$50)^2*(1-Drivers!$B$14)^2+Drivers!$E$49*(1+Drivers!$E$50)^3*(1-Drivers!$B$14)^1+Drivers!$E$49*(1+Drivers!$E$50)^4*(1-Drivers!$B$14)^0)*Drivers!$B$28+Drivers!$E$47*(1+Drivers!$E$48)^4*Drivers!$B$25*Drivers!$B$24)*Drivers!$B$16)-(Drivers!$E$47*(1+Drivers!$E$48)^4*Drivers!$B$33*Drivers!$E$52+Drivers!$E$49*(1+Drivers!$E$50)^4*Drivers!$B$32*Drivers!$E$52)-(Drivers!$B$11+Drivers!$B$38+Drivers!$B$40))+(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-((Drivers!$E$47*(1+Drivers!$E$48)^0*(1-H$4)^5+Drivers!$E$47*(1+Drivers!$E$48)^1*(1-H$4)^4+Drivers!$E$47*(1+Drivers!$E$48)^2*(1-H$4)^3+Drivers!$E$47*(1+Drivers!$E$48)^3*(1-H$4)^2+Drivers!$E$47*(1+Drivers!$E$48)^4*(1-H$4)^1+Drivers!$E$47*(1+Drivers!$E$48)^5*(1-H$4)^0)*(($A$11*Drivers!$B$6+(1-$A$11)*Drivers!$B$9*Drivers!$B$10)*Drivers!$B$37)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(($A$11*Drivers!$B$5+(1-$A$11)*Drivers!$B$9*Drivers!$B$10)*Drivers!$B$36)+((Drivers!$E$47*(1+Drivers!$E$48)^0*(1-H$4)^5+Drivers!$E$47*(1+Drivers!$E$48)^1*(1-H$4)^4+Drivers!$E$47*(1+Drivers!$E$48)^2*(1-H$4)^3+Drivers!$E$47*(1+Drivers!$E$48)^3*(1-H$4)^2+Drivers!$E$47*(1+Drivers!$E$48)^4*(1-H$4)^1+Drivers!$E$47*(1+Drivers!$E$48)^5*(1-H$4)^0)*Drivers!$B$29+(Drivers!$E$49*(1+Drivers!$E$50)^0*(1-Drivers!$B$14)^5+Drivers!$E$49*(1+Drivers!$E$50)^1*(1-Drivers!$B$14)^4+Drivers!$E$49*(1+Drivers!$E$50)^2*(1-Drivers!$B$14)^3+Drivers!$E$49*(1+Drivers!$E$50)^3*(1-Drivers!$B$14)^2+Drivers!$E$49*(1+Drivers!$E$50)^4*(1-Drivers!$B$14)^1+Drivers!$E$49*(1+Drivers!$E$50)^5*(1-Drivers!$B$14)^0)*Drivers!$B$28+Drivers!$E$47*(1+Drivers!$E$48)^5*Drivers!$B$25*Drivers!$B$24)*Drivers!$B$16)-(Drivers!$E$47*(1+Drivers!$E$48)^5*Drivers!$B$33*Drivers!$E$52+Drivers!$E$49*(1+Drivers!$E$50)^5*Drivers!$B$32*Drivers!$E$52)-(Drivers!$B$11+Drivers!$B$38+Drivers!$B$40))+(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-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(($A$11*Drivers!$B$6+(1-$A$11)*Drivers!$B$9*Drivers!$B$10)*Drivers!$B$37)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(($A$11*Drivers!$B$5+(1-$A$11)*Drivers!$B$9*Drivers!$B$10)*Drivers!$B$36)+((Drivers!$E$47*(1+Drivers!$E$48)^0*(1-H$4)^6+Drivers!$E$47*(1+Drivers!$E$48)^1*(1-H$4)^5+Drivers!$E$47*(1+Drivers!$E$48)^2*(1-H$4)^4+Drivers!$E$47*(1+Drivers!$E$48)^3*(1-H$4)^3+Drivers!$E$47*(1+Drivers!$E$48)^4*(1-H$4)^2+Drivers!$E$47*(1+Drivers!$E$48)^5*(1-H$4)^1+Drivers!$E$47*(1+Drivers!$E$48)^6*(1-H$4)^0)*Drivers!$B$29+(Drivers!$E$49*(1+Drivers!$E$50)^0*(1-Drivers!$B$14)^6+Drivers!$E$49*(1+Drivers!$E$50)^1*(1-Drivers!$B$14)^5+Drivers!$E$49*(1+Drivers!$E$50)^2*(1-Drivers!$B$14)^4+Drivers!$E$49*(1+Drivers!$E$50)^3*(1-Drivers!$B$14)^3+Drivers!$E$49*(1+Drivers!$E$50)^4*(1-Drivers!$B$14)^2+Drivers!$E$49*(1+Drivers!$E$50)^5*(1-Drivers!$B$14)^1+Drivers!$E$49*(1+Drivers!$E$50)^6*(1-Drivers!$B$14)^0)*Drivers!$B$28+Drivers!$E$47*(1+Drivers!$E$48)^6*Drivers!$B$25*Drivers!$B$24)*Drivers!$B$16)-(Drivers!$E$47*(1+Drivers!$E$48)^6*Drivers!$B$33*Drivers!$E$52+Drivers!$E$49*(1+Drivers!$E$50)^6*Drivers!$B$32*Drivers!$E$52)-(Drivers!$B$11+Drivers!$B$38+Drivers!$B$40))+(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-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(($A$11*Drivers!$B$6+(1-$A$11)*Drivers!$B$9*Drivers!$B$10)*Drivers!$B$37)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(($A$11*Drivers!$B$5+(1-$A$11)*Drivers!$B$9*Drivers!$B$10)*Drivers!$B$36)+((Drivers!$E$47*(1+Drivers!$E$48)^0*(1-H$4)^7+Drivers!$E$47*(1+Drivers!$E$48)^1*(1-H$4)^6+Drivers!$E$47*(1+Drivers!$E$48)^2*(1-H$4)^5+Drivers!$E$47*(1+Drivers!$E$48)^3*(1-H$4)^4+Drivers!$E$47*(1+Drivers!$E$48)^4*(1-H$4)^3+Drivers!$E$47*(1+Drivers!$E$48)^5*(1-H$4)^2+Drivers!$E$47*(1+Drivers!$E$48)^6*(1-H$4)^1+Drivers!$E$47*(1+Drivers!$E$48)^7*(1-H$4)^0)*Drivers!$B$29+(Drivers!$E$49*(1+Drivers!$E$50)^0*(1-Drivers!$B$14)^7+Drivers!$E$49*(1+Drivers!$E$50)^1*(1-Drivers!$B$14)^6+Drivers!$E$49*(1+Drivers!$E$50)^2*(1-Drivers!$B$14)^5+Drivers!$E$49*(1+Drivers!$E$50)^3*(1-Drivers!$B$14)^4+Drivers!$E$49*(1+Drivers!$E$50)^4*(1-Drivers!$B$14)^3+Drivers!$E$49*(1+Drivers!$E$50)^5*(1-Drivers!$B$14)^2+Drivers!$E$49*(1+Drivers!$E$50)^6*(1-Drivers!$B$14)^1+Drivers!$E$49*(1+Drivers!$E$50)^7*(1-Drivers!$B$14)^0)*Drivers!$B$28+Drivers!$E$47*(1+Drivers!$E$48)^7*Drivers!$B$25*Drivers!$B$24)*Drivers!$B$16)-(Drivers!$E$47*(1+Drivers!$E$48)^7*Drivers!$B$33*Drivers!$E$52+Drivers!$E$49*(1+Drivers!$E$50)^7*Drivers!$B$32*Drivers!$E$52)-(Drivers!$B$11+Drivers!$B$38+Drivers!$B$40))+(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-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(($A$11*Drivers!$B$6+(1-$A$11)*Drivers!$B$9*Drivers!$B$10)*Drivers!$B$37)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(($A$11*Drivers!$B$5+(1-$A$11)*Drivers!$B$9*Drivers!$B$10)*Drivers!$B$36)+((Drivers!$E$47*(1+Drivers!$E$48)^0*(1-H$4)^8+Drivers!$E$47*(1+Drivers!$E$48)^1*(1-H$4)^7+Drivers!$E$47*(1+Drivers!$E$48)^2*(1-H$4)^6+Drivers!$E$47*(1+Drivers!$E$48)^3*(1-H$4)^5+Drivers!$E$47*(1+Drivers!$E$48)^4*(1-H$4)^4+Drivers!$E$47*(1+Drivers!$E$48)^5*(1-H$4)^3+Drivers!$E$47*(1+Drivers!$E$48)^6*(1-H$4)^2+Drivers!$E$47*(1+Drivers!$E$48)^7*(1-H$4)^1+Drivers!$E$47*(1+Drivers!$E$48)^8*(1-H$4)^0)*Drivers!$B$29+(Drivers!$E$49*(1+Drivers!$E$50)^0*(1-Drivers!$B$14)^8+Drivers!$E$49*(1+Drivers!$E$50)^1*(1-Drivers!$B$14)^7+Drivers!$E$49*(1+Drivers!$E$50)^2*(1-Drivers!$B$14)^6+Drivers!$E$49*(1+Drivers!$E$50)^3*(1-Drivers!$B$14)^5+Drivers!$E$49*(1+Drivers!$E$50)^4*(1-Drivers!$B$14)^4+Drivers!$E$49*(1+Drivers!$E$50)^5*(1-Drivers!$B$14)^3+Drivers!$E$49*(1+Drivers!$E$50)^6*(1-Drivers!$B$14)^2+Drivers!$E$49*(1+Drivers!$E$50)^7*(1-Drivers!$B$14)^1+Drivers!$E$49*(1+Drivers!$E$50)^8*(1-Drivers!$B$14)^0)*Drivers!$B$28+Drivers!$E$47*(1+Drivers!$E$48)^8*Drivers!$B$25*Drivers!$B$24)*Drivers!$B$16)-(Drivers!$E$47*(1+Drivers!$E$48)^8*Drivers!$B$33*Drivers!$E$52+Drivers!$E$49*(1+Drivers!$E$50)^8*Drivers!$B$32*Drivers!$E$52)-(Drivers!$B$11+Drivers!$B$38+Drivers!$B$40))+(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-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(($A$11*Drivers!$B$6+(1-$A$11)*Drivers!$B$9*Drivers!$B$10)*Drivers!$B$37)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(($A$11*Drivers!$B$5+(1-$A$11)*Drivers!$B$9*Drivers!$B$10)*Drivers!$B$36)+((Drivers!$E$47*(1+Drivers!$E$48)^0*(1-H$4)^9+Drivers!$E$47*(1+Drivers!$E$48)^1*(1-H$4)^8+Drivers!$E$47*(1+Drivers!$E$48)^2*(1-H$4)^7+Drivers!$E$47*(1+Drivers!$E$48)^3*(1-H$4)^6+Drivers!$E$47*(1+Drivers!$E$48)^4*(1-H$4)^5+Drivers!$E$47*(1+Drivers!$E$48)^5*(1-H$4)^4+Drivers!$E$47*(1+Drivers!$E$48)^6*(1-H$4)^3+Drivers!$E$47*(1+Drivers!$E$48)^7*(1-H$4)^2+Drivers!$E$47*(1+Drivers!$E$48)^8*(1-H$4)^1+Drivers!$E$47*(1+Drivers!$E$48)^9*(1-H$4)^0)*Drivers!$B$29+(Drivers!$E$49*(1+Drivers!$E$50)^0*(1-Drivers!$B$14)^9+Drivers!$E$49*(1+Drivers!$E$50)^1*(1-Drivers!$B$14)^8+Drivers!$E$49*(1+Drivers!$E$50)^2*(1-Drivers!$B$14)^7+Drivers!$E$49*(1+Drivers!$E$50)^3*(1-Drivers!$B$14)^6+Drivers!$E$49*(1+Drivers!$E$50)^4*(1-Drivers!$B$14)^5+Drivers!$E$49*(1+Drivers!$E$50)^5*(1-Drivers!$B$14)^4+Drivers!$E$49*(1+Drivers!$E$50)^6*(1-Drivers!$B$14)^3+Drivers!$E$49*(1+Drivers!$E$50)^7*(1-Drivers!$B$14)^2+Drivers!$E$49*(1+Drivers!$E$50)^8*(1-Drivers!$B$14)^1+Drivers!$E$49*(1+Drivers!$E$50)^9*(1-Drivers!$B$14)^0)*Drivers!$B$28+Drivers!$E$47*(1+Drivers!$E$48)^9*Drivers!$B$25*Drivers!$B$24)*Drivers!$B$16)-(Drivers!$E$47*(1+Drivers!$E$48)^9*Drivers!$B$33*Drivers!$E$52+Drivers!$E$49*(1+Drivers!$E$50)^9*Drivers!$B$32*Drivers!$E$52)-(Drivers!$B$11+Drivers!$B$38+Drivers!$B$40))+(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-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(($A$11*Drivers!$B$6+(1-$A$11)*Drivers!$B$9*Drivers!$B$10)*Drivers!$B$37)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(($A$11*Drivers!$B$5+(1-$A$11)*Drivers!$B$9*Drivers!$B$10)*Drivers!$B$36)+((Drivers!$E$47*(1+Drivers!$E$48)^0*(1-H$4)^10+Drivers!$E$47*(1+Drivers!$E$48)^1*(1-H$4)^9+Drivers!$E$47*(1+Drivers!$E$48)^2*(1-H$4)^8+Drivers!$E$47*(1+Drivers!$E$48)^3*(1-H$4)^7+Drivers!$E$47*(1+Drivers!$E$48)^4*(1-H$4)^6+Drivers!$E$47*(1+Drivers!$E$48)^5*(1-H$4)^5+Drivers!$E$47*(1+Drivers!$E$48)^6*(1-H$4)^4+Drivers!$E$47*(1+Drivers!$E$48)^7*(1-H$4)^3+Drivers!$E$47*(1+Drivers!$E$48)^8*(1-H$4)^2+Drivers!$E$47*(1+Drivers!$E$48)^9*(1-H$4)^1+Drivers!$E$47*(1+Drivers!$E$48)^10*(1-H$4)^0)*Drivers!$B$29+(Drivers!$E$49*(1+Drivers!$E$50)^0*(1-Drivers!$B$14)^10+Drivers!$E$49*(1+Drivers!$E$50)^1*(1-Drivers!$B$14)^9+Drivers!$E$49*(1+Drivers!$E$50)^2*(1-Drivers!$B$14)^8+Drivers!$E$49*(1+Drivers!$E$50)^3*(1-Drivers!$B$14)^7+Drivers!$E$49*(1+Drivers!$E$50)^4*(1-Drivers!$B$14)^6+Drivers!$E$49*(1+Drivers!$E$50)^5*(1-Drivers!$B$14)^5+Drivers!$E$49*(1+Drivers!$E$50)^6*(1-Drivers!$B$14)^4+Drivers!$E$49*(1+Drivers!$E$50)^7*(1-Drivers!$B$14)^3+Drivers!$E$49*(1+Drivers!$E$50)^8*(1-Drivers!$B$14)^2+Drivers!$E$49*(1+Drivers!$E$50)^9*(1-Drivers!$B$14)^1+Drivers!$E$49*(1+Drivers!$E$50)^10*(1-Drivers!$B$14)^0)*Drivers!$B$28+Drivers!$E$47*(1+Drivers!$E$48)^10*Drivers!$B$25*Drivers!$B$24)*Drivers!$B$16)-(Drivers!$E$47*(1+Drivers!$E$48)^10*Drivers!$B$33*Drivers!$E$52+Drivers!$E$49*(1+Drivers!$E$50)^10*Drivers!$B$32*Drivers!$E$52)-(Drivers!$B$11+Drivers!$B$38+Drivers!$B$40))+(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-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(($A$11*Drivers!$B$6+(1-$A$11)*Drivers!$B$9*Drivers!$B$10)*Drivers!$B$37)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(($A$11*Drivers!$B$5+(1-$A$11)*Drivers!$B$9*Drivers!$B$10)*Drivers!$B$36)+((Drivers!$E$47*(1+Drivers!$E$48)^0*(1-H$4)^11+Drivers!$E$47*(1+Drivers!$E$48)^1*(1-H$4)^10+Drivers!$E$47*(1+Drivers!$E$48)^2*(1-H$4)^9+Drivers!$E$47*(1+Drivers!$E$48)^3*(1-H$4)^8+Drivers!$E$47*(1+Drivers!$E$48)^4*(1-H$4)^7+Drivers!$E$47*(1+Drivers!$E$48)^5*(1-H$4)^6+Drivers!$E$47*(1+Drivers!$E$48)^6*(1-H$4)^5+Drivers!$E$47*(1+Drivers!$E$48)^7*(1-H$4)^4+Drivers!$E$47*(1+Drivers!$E$48)^8*(1-H$4)^3+Drivers!$E$47*(1+Drivers!$E$48)^9*(1-H$4)^2+Drivers!$E$47*(1+Drivers!$E$48)^10*(1-H$4)^1+Drivers!$E$47*(1+Drivers!$E$48)^11*(1-H$4)^0)*Drivers!$B$29+(Drivers!$E$49*(1+Drivers!$E$50)^0*(1-Drivers!$B$14)^11+Drivers!$E$49*(1+Drivers!$E$50)^1*(1-Drivers!$B$14)^10+Drivers!$E$49*(1+Drivers!$E$50)^2*(1-Drivers!$B$14)^9+Drivers!$E$49*(1+Drivers!$E$50)^3*(1-Drivers!$B$14)^8+Drivers!$E$49*(1+Drivers!$E$50)^4*(1-Drivers!$B$14)^7+Drivers!$E$49*(1+Drivers!$E$50)^5*(1-Drivers!$B$14)^6+Drivers!$E$49*(1+Drivers!$E$50)^6*(1-Drivers!$B$14)^5+Drivers!$E$49*(1+Drivers!$E$50)^7*(1-Drivers!$B$14)^4+Drivers!$E$49*(1+Drivers!$E$50)^8*(1-Drivers!$B$14)^3+Drivers!$E$49*(1+Drivers!$E$50)^9*(1-Drivers!$B$14)^2+Drivers!$E$49*(1+Drivers!$E$50)^10*(1-Drivers!$B$14)^1+Drivers!$E$49*(1+Drivers!$E$50)^11*(1-Drivers!$B$14)^0)*Drivers!$B$28+Drivers!$E$47*(1+Drivers!$E$48)^11*Drivers!$B$25*Drivers!$B$24)*Drivers!$B$16)-(Drivers!$E$47*(1+Drivers!$E$48)^11*Drivers!$B$33*Drivers!$E$52+Drivers!$E$49*(1+Drivers!$E$50)^11*Drivers!$B$32*Drivers!$E$52)-(Drivers!$B$11+Drivers!$B$38+Drivers!$B$40))</f>
        <v/>
      </c>
    </row>
    <row r="23">
      <c r="A23" s="27" t="inlineStr">
        <is>
          <t>TABLE 2 - Breakeven month (first month cumulative cash &gt; 0)</t>
        </is>
      </c>
    </row>
    <row r="24">
      <c r="A24" s="15" t="inlineStr">
        <is>
          <t>Deflect \ Churn</t>
        </is>
      </c>
      <c r="B24" s="28" t="n">
        <v>0.03</v>
      </c>
      <c r="C24" s="28" t="n">
        <v>0.04</v>
      </c>
      <c r="D24" s="28" t="n">
        <v>0.05</v>
      </c>
      <c r="E24" s="28" t="n">
        <v>0.06</v>
      </c>
      <c r="F24" s="28" t="n">
        <v>0.07000000000000001</v>
      </c>
      <c r="G24" s="28" t="n">
        <v>0.08</v>
      </c>
      <c r="H24" s="28" t="n">
        <v>0.09</v>
      </c>
    </row>
    <row r="25">
      <c r="A25" s="29" t="n">
        <v>0.55</v>
      </c>
      <c r="B25" s="25">
        <f>IF(D14&gt;0,1,IF(E14&gt;0,2,IF(F14&gt;0,3,IF(G14&gt;0,4,IF(H14&gt;0,5,IF(I14&gt;0,6,IF(J14&gt;0,7,IF(K14&gt;0,8,IF(L14&gt;0,9,IF(M14&gt;0,10,IF(N14&gt;0,11,IF(O14&gt;0,12,"none&gt;12"))))))))))))</f>
        <v/>
      </c>
      <c r="C25" s="25">
        <f>IF(Q14&gt;0,1,IF(R14&gt;0,2,IF(S14&gt;0,3,IF(T14&gt;0,4,IF(U14&gt;0,5,IF(V14&gt;0,6,IF(W14&gt;0,7,IF(X14&gt;0,8,IF(Y14&gt;0,9,IF(Z14&gt;0,10,IF(AA14&gt;0,11,IF(AB14&gt;0,12,"none&gt;12"))))))))))))</f>
        <v/>
      </c>
      <c r="D25" s="25">
        <f>IF(AD14&gt;0,1,IF(AE14&gt;0,2,IF(AF14&gt;0,3,IF(AG14&gt;0,4,IF(AH14&gt;0,5,IF(AI14&gt;0,6,IF(AJ14&gt;0,7,IF(AK14&gt;0,8,IF(AL14&gt;0,9,IF(AM14&gt;0,10,IF(AN14&gt;0,11,IF(AO14&gt;0,12,"none&gt;12"))))))))))))</f>
        <v/>
      </c>
      <c r="E25" s="25">
        <f>IF(AQ14&gt;0,1,IF(AR14&gt;0,2,IF(AS14&gt;0,3,IF(AT14&gt;0,4,IF(AU14&gt;0,5,IF(AV14&gt;0,6,IF(AW14&gt;0,7,IF(AX14&gt;0,8,IF(AY14&gt;0,9,IF(AZ14&gt;0,10,IF(BA14&gt;0,11,IF(BB14&gt;0,12,"none&gt;12"))))))))))))</f>
        <v/>
      </c>
      <c r="F25" s="25">
        <f>IF(BD14&gt;0,1,IF(BE14&gt;0,2,IF(BF14&gt;0,3,IF(BG14&gt;0,4,IF(BH14&gt;0,5,IF(BI14&gt;0,6,IF(BJ14&gt;0,7,IF(BK14&gt;0,8,IF(BL14&gt;0,9,IF(BM14&gt;0,10,IF(BN14&gt;0,11,IF(BO14&gt;0,12,"none&gt;12"))))))))))))</f>
        <v/>
      </c>
      <c r="G25" s="25">
        <f>IF(BQ14&gt;0,1,IF(BR14&gt;0,2,IF(BS14&gt;0,3,IF(BT14&gt;0,4,IF(BU14&gt;0,5,IF(BV14&gt;0,6,IF(BW14&gt;0,7,IF(BX14&gt;0,8,IF(BY14&gt;0,9,IF(BZ14&gt;0,10,IF(CA14&gt;0,11,IF(CB14&gt;0,12,"none&gt;12"))))))))))))</f>
        <v/>
      </c>
      <c r="H25" s="25">
        <f>IF(CD14&gt;0,1,IF(CE14&gt;0,2,IF(CF14&gt;0,3,IF(CG14&gt;0,4,IF(CH14&gt;0,5,IF(CI14&gt;0,6,IF(CJ14&gt;0,7,IF(CK14&gt;0,8,IF(CL14&gt;0,9,IF(CM14&gt;0,10,IF(CN14&gt;0,11,IF(CO14&gt;0,12,"none&gt;12"))))))))))))</f>
        <v/>
      </c>
    </row>
    <row r="26">
      <c r="A26" s="29" t="n">
        <v>0.6</v>
      </c>
      <c r="B26" s="25">
        <f>IF(D15&gt;0,1,IF(E15&gt;0,2,IF(F15&gt;0,3,IF(G15&gt;0,4,IF(H15&gt;0,5,IF(I15&gt;0,6,IF(J15&gt;0,7,IF(K15&gt;0,8,IF(L15&gt;0,9,IF(M15&gt;0,10,IF(N15&gt;0,11,IF(O15&gt;0,12,"none&gt;12"))))))))))))</f>
        <v/>
      </c>
      <c r="C26" s="25">
        <f>IF(Q15&gt;0,1,IF(R15&gt;0,2,IF(S15&gt;0,3,IF(T15&gt;0,4,IF(U15&gt;0,5,IF(V15&gt;0,6,IF(W15&gt;0,7,IF(X15&gt;0,8,IF(Y15&gt;0,9,IF(Z15&gt;0,10,IF(AA15&gt;0,11,IF(AB15&gt;0,12,"none&gt;12"))))))))))))</f>
        <v/>
      </c>
      <c r="D26" s="25">
        <f>IF(AD15&gt;0,1,IF(AE15&gt;0,2,IF(AF15&gt;0,3,IF(AG15&gt;0,4,IF(AH15&gt;0,5,IF(AI15&gt;0,6,IF(AJ15&gt;0,7,IF(AK15&gt;0,8,IF(AL15&gt;0,9,IF(AM15&gt;0,10,IF(AN15&gt;0,11,IF(AO15&gt;0,12,"none&gt;12"))))))))))))</f>
        <v/>
      </c>
      <c r="E26" s="25">
        <f>IF(AQ15&gt;0,1,IF(AR15&gt;0,2,IF(AS15&gt;0,3,IF(AT15&gt;0,4,IF(AU15&gt;0,5,IF(AV15&gt;0,6,IF(AW15&gt;0,7,IF(AX15&gt;0,8,IF(AY15&gt;0,9,IF(AZ15&gt;0,10,IF(BA15&gt;0,11,IF(BB15&gt;0,12,"none&gt;12"))))))))))))</f>
        <v/>
      </c>
      <c r="F26" s="25">
        <f>IF(BD15&gt;0,1,IF(BE15&gt;0,2,IF(BF15&gt;0,3,IF(BG15&gt;0,4,IF(BH15&gt;0,5,IF(BI15&gt;0,6,IF(BJ15&gt;0,7,IF(BK15&gt;0,8,IF(BL15&gt;0,9,IF(BM15&gt;0,10,IF(BN15&gt;0,11,IF(BO15&gt;0,12,"none&gt;12"))))))))))))</f>
        <v/>
      </c>
      <c r="G26" s="25">
        <f>IF(BQ15&gt;0,1,IF(BR15&gt;0,2,IF(BS15&gt;0,3,IF(BT15&gt;0,4,IF(BU15&gt;0,5,IF(BV15&gt;0,6,IF(BW15&gt;0,7,IF(BX15&gt;0,8,IF(BY15&gt;0,9,IF(BZ15&gt;0,10,IF(CA15&gt;0,11,IF(CB15&gt;0,12,"none&gt;12"))))))))))))</f>
        <v/>
      </c>
      <c r="H26" s="25">
        <f>IF(CD15&gt;0,1,IF(CE15&gt;0,2,IF(CF15&gt;0,3,IF(CG15&gt;0,4,IF(CH15&gt;0,5,IF(CI15&gt;0,6,IF(CJ15&gt;0,7,IF(CK15&gt;0,8,IF(CL15&gt;0,9,IF(CM15&gt;0,10,IF(CN15&gt;0,11,IF(CO15&gt;0,12,"none&gt;12"))))))))))))</f>
        <v/>
      </c>
    </row>
    <row r="27">
      <c r="A27" s="29" t="n">
        <v>0.65</v>
      </c>
      <c r="B27" s="25">
        <f>IF(D16&gt;0,1,IF(E16&gt;0,2,IF(F16&gt;0,3,IF(G16&gt;0,4,IF(H16&gt;0,5,IF(I16&gt;0,6,IF(J16&gt;0,7,IF(K16&gt;0,8,IF(L16&gt;0,9,IF(M16&gt;0,10,IF(N16&gt;0,11,IF(O16&gt;0,12,"none&gt;12"))))))))))))</f>
        <v/>
      </c>
      <c r="C27" s="25">
        <f>IF(Q16&gt;0,1,IF(R16&gt;0,2,IF(S16&gt;0,3,IF(T16&gt;0,4,IF(U16&gt;0,5,IF(V16&gt;0,6,IF(W16&gt;0,7,IF(X16&gt;0,8,IF(Y16&gt;0,9,IF(Z16&gt;0,10,IF(AA16&gt;0,11,IF(AB16&gt;0,12,"none&gt;12"))))))))))))</f>
        <v/>
      </c>
      <c r="D27" s="25">
        <f>IF(AD16&gt;0,1,IF(AE16&gt;0,2,IF(AF16&gt;0,3,IF(AG16&gt;0,4,IF(AH16&gt;0,5,IF(AI16&gt;0,6,IF(AJ16&gt;0,7,IF(AK16&gt;0,8,IF(AL16&gt;0,9,IF(AM16&gt;0,10,IF(AN16&gt;0,11,IF(AO16&gt;0,12,"none&gt;12"))))))))))))</f>
        <v/>
      </c>
      <c r="E27" s="25">
        <f>IF(AQ16&gt;0,1,IF(AR16&gt;0,2,IF(AS16&gt;0,3,IF(AT16&gt;0,4,IF(AU16&gt;0,5,IF(AV16&gt;0,6,IF(AW16&gt;0,7,IF(AX16&gt;0,8,IF(AY16&gt;0,9,IF(AZ16&gt;0,10,IF(BA16&gt;0,11,IF(BB16&gt;0,12,"none&gt;12"))))))))))))</f>
        <v/>
      </c>
      <c r="F27" s="25">
        <f>IF(BD16&gt;0,1,IF(BE16&gt;0,2,IF(BF16&gt;0,3,IF(BG16&gt;0,4,IF(BH16&gt;0,5,IF(BI16&gt;0,6,IF(BJ16&gt;0,7,IF(BK16&gt;0,8,IF(BL16&gt;0,9,IF(BM16&gt;0,10,IF(BN16&gt;0,11,IF(BO16&gt;0,12,"none&gt;12"))))))))))))</f>
        <v/>
      </c>
      <c r="G27" s="25">
        <f>IF(BQ16&gt;0,1,IF(BR16&gt;0,2,IF(BS16&gt;0,3,IF(BT16&gt;0,4,IF(BU16&gt;0,5,IF(BV16&gt;0,6,IF(BW16&gt;0,7,IF(BX16&gt;0,8,IF(BY16&gt;0,9,IF(BZ16&gt;0,10,IF(CA16&gt;0,11,IF(CB16&gt;0,12,"none&gt;12"))))))))))))</f>
        <v/>
      </c>
      <c r="H27" s="25">
        <f>IF(CD16&gt;0,1,IF(CE16&gt;0,2,IF(CF16&gt;0,3,IF(CG16&gt;0,4,IF(CH16&gt;0,5,IF(CI16&gt;0,6,IF(CJ16&gt;0,7,IF(CK16&gt;0,8,IF(CL16&gt;0,9,IF(CM16&gt;0,10,IF(CN16&gt;0,11,IF(CO16&gt;0,12,"none&gt;12"))))))))))))</f>
        <v/>
      </c>
    </row>
    <row r="28">
      <c r="A28" s="29" t="n">
        <v>0.7</v>
      </c>
      <c r="B28" s="25">
        <f>IF(D17&gt;0,1,IF(E17&gt;0,2,IF(F17&gt;0,3,IF(G17&gt;0,4,IF(H17&gt;0,5,IF(I17&gt;0,6,IF(J17&gt;0,7,IF(K17&gt;0,8,IF(L17&gt;0,9,IF(M17&gt;0,10,IF(N17&gt;0,11,IF(O17&gt;0,12,"none&gt;12"))))))))))))</f>
        <v/>
      </c>
      <c r="C28" s="25">
        <f>IF(Q17&gt;0,1,IF(R17&gt;0,2,IF(S17&gt;0,3,IF(T17&gt;0,4,IF(U17&gt;0,5,IF(V17&gt;0,6,IF(W17&gt;0,7,IF(X17&gt;0,8,IF(Y17&gt;0,9,IF(Z17&gt;0,10,IF(AA17&gt;0,11,IF(AB17&gt;0,12,"none&gt;12"))))))))))))</f>
        <v/>
      </c>
      <c r="D28" s="25">
        <f>IF(AD17&gt;0,1,IF(AE17&gt;0,2,IF(AF17&gt;0,3,IF(AG17&gt;0,4,IF(AH17&gt;0,5,IF(AI17&gt;0,6,IF(AJ17&gt;0,7,IF(AK17&gt;0,8,IF(AL17&gt;0,9,IF(AM17&gt;0,10,IF(AN17&gt;0,11,IF(AO17&gt;0,12,"none&gt;12"))))))))))))</f>
        <v/>
      </c>
      <c r="E28" s="25">
        <f>IF(AQ17&gt;0,1,IF(AR17&gt;0,2,IF(AS17&gt;0,3,IF(AT17&gt;0,4,IF(AU17&gt;0,5,IF(AV17&gt;0,6,IF(AW17&gt;0,7,IF(AX17&gt;0,8,IF(AY17&gt;0,9,IF(AZ17&gt;0,10,IF(BA17&gt;0,11,IF(BB17&gt;0,12,"none&gt;12"))))))))))))</f>
        <v/>
      </c>
      <c r="F28" s="25">
        <f>IF(BD17&gt;0,1,IF(BE17&gt;0,2,IF(BF17&gt;0,3,IF(BG17&gt;0,4,IF(BH17&gt;0,5,IF(BI17&gt;0,6,IF(BJ17&gt;0,7,IF(BK17&gt;0,8,IF(BL17&gt;0,9,IF(BM17&gt;0,10,IF(BN17&gt;0,11,IF(BO17&gt;0,12,"none&gt;12"))))))))))))</f>
        <v/>
      </c>
      <c r="G28" s="25">
        <f>IF(BQ17&gt;0,1,IF(BR17&gt;0,2,IF(BS17&gt;0,3,IF(BT17&gt;0,4,IF(BU17&gt;0,5,IF(BV17&gt;0,6,IF(BW17&gt;0,7,IF(BX17&gt;0,8,IF(BY17&gt;0,9,IF(BZ17&gt;0,10,IF(CA17&gt;0,11,IF(CB17&gt;0,12,"none&gt;12"))))))))))))</f>
        <v/>
      </c>
      <c r="H28" s="25">
        <f>IF(CD17&gt;0,1,IF(CE17&gt;0,2,IF(CF17&gt;0,3,IF(CG17&gt;0,4,IF(CH17&gt;0,5,IF(CI17&gt;0,6,IF(CJ17&gt;0,7,IF(CK17&gt;0,8,IF(CL17&gt;0,9,IF(CM17&gt;0,10,IF(CN17&gt;0,11,IF(CO17&gt;0,12,"none&gt;12"))))))))))))</f>
        <v/>
      </c>
    </row>
    <row r="29">
      <c r="A29" s="29" t="n">
        <v>0.75</v>
      </c>
      <c r="B29" s="25">
        <f>IF(D18&gt;0,1,IF(E18&gt;0,2,IF(F18&gt;0,3,IF(G18&gt;0,4,IF(H18&gt;0,5,IF(I18&gt;0,6,IF(J18&gt;0,7,IF(K18&gt;0,8,IF(L18&gt;0,9,IF(M18&gt;0,10,IF(N18&gt;0,11,IF(O18&gt;0,12,"none&gt;12"))))))))))))</f>
        <v/>
      </c>
      <c r="C29" s="25">
        <f>IF(Q18&gt;0,1,IF(R18&gt;0,2,IF(S18&gt;0,3,IF(T18&gt;0,4,IF(U18&gt;0,5,IF(V18&gt;0,6,IF(W18&gt;0,7,IF(X18&gt;0,8,IF(Y18&gt;0,9,IF(Z18&gt;0,10,IF(AA18&gt;0,11,IF(AB18&gt;0,12,"none&gt;12"))))))))))))</f>
        <v/>
      </c>
      <c r="D29" s="25">
        <f>IF(AD18&gt;0,1,IF(AE18&gt;0,2,IF(AF18&gt;0,3,IF(AG18&gt;0,4,IF(AH18&gt;0,5,IF(AI18&gt;0,6,IF(AJ18&gt;0,7,IF(AK18&gt;0,8,IF(AL18&gt;0,9,IF(AM18&gt;0,10,IF(AN18&gt;0,11,IF(AO18&gt;0,12,"none&gt;12"))))))))))))</f>
        <v/>
      </c>
      <c r="E29" s="25">
        <f>IF(AQ18&gt;0,1,IF(AR18&gt;0,2,IF(AS18&gt;0,3,IF(AT18&gt;0,4,IF(AU18&gt;0,5,IF(AV18&gt;0,6,IF(AW18&gt;0,7,IF(AX18&gt;0,8,IF(AY18&gt;0,9,IF(AZ18&gt;0,10,IF(BA18&gt;0,11,IF(BB18&gt;0,12,"none&gt;12"))))))))))))</f>
        <v/>
      </c>
      <c r="F29" s="25">
        <f>IF(BD18&gt;0,1,IF(BE18&gt;0,2,IF(BF18&gt;0,3,IF(BG18&gt;0,4,IF(BH18&gt;0,5,IF(BI18&gt;0,6,IF(BJ18&gt;0,7,IF(BK18&gt;0,8,IF(BL18&gt;0,9,IF(BM18&gt;0,10,IF(BN18&gt;0,11,IF(BO18&gt;0,12,"none&gt;12"))))))))))))</f>
        <v/>
      </c>
      <c r="G29" s="25">
        <f>IF(BQ18&gt;0,1,IF(BR18&gt;0,2,IF(BS18&gt;0,3,IF(BT18&gt;0,4,IF(BU18&gt;0,5,IF(BV18&gt;0,6,IF(BW18&gt;0,7,IF(BX18&gt;0,8,IF(BY18&gt;0,9,IF(BZ18&gt;0,10,IF(CA18&gt;0,11,IF(CB18&gt;0,12,"none&gt;12"))))))))))))</f>
        <v/>
      </c>
      <c r="H29" s="25">
        <f>IF(CD18&gt;0,1,IF(CE18&gt;0,2,IF(CF18&gt;0,3,IF(CG18&gt;0,4,IF(CH18&gt;0,5,IF(CI18&gt;0,6,IF(CJ18&gt;0,7,IF(CK18&gt;0,8,IF(CL18&gt;0,9,IF(CM18&gt;0,10,IF(CN18&gt;0,11,IF(CO18&gt;0,12,"none&gt;12"))))))))))))</f>
        <v/>
      </c>
    </row>
    <row r="30">
      <c r="A30" s="29" t="n">
        <v>0.8</v>
      </c>
      <c r="B30" s="25">
        <f>IF(D19&gt;0,1,IF(E19&gt;0,2,IF(F19&gt;0,3,IF(G19&gt;0,4,IF(H19&gt;0,5,IF(I19&gt;0,6,IF(J19&gt;0,7,IF(K19&gt;0,8,IF(L19&gt;0,9,IF(M19&gt;0,10,IF(N19&gt;0,11,IF(O19&gt;0,12,"none&gt;12"))))))))))))</f>
        <v/>
      </c>
      <c r="C30" s="25">
        <f>IF(Q19&gt;0,1,IF(R19&gt;0,2,IF(S19&gt;0,3,IF(T19&gt;0,4,IF(U19&gt;0,5,IF(V19&gt;0,6,IF(W19&gt;0,7,IF(X19&gt;0,8,IF(Y19&gt;0,9,IF(Z19&gt;0,10,IF(AA19&gt;0,11,IF(AB19&gt;0,12,"none&gt;12"))))))))))))</f>
        <v/>
      </c>
      <c r="D30" s="25">
        <f>IF(AD19&gt;0,1,IF(AE19&gt;0,2,IF(AF19&gt;0,3,IF(AG19&gt;0,4,IF(AH19&gt;0,5,IF(AI19&gt;0,6,IF(AJ19&gt;0,7,IF(AK19&gt;0,8,IF(AL19&gt;0,9,IF(AM19&gt;0,10,IF(AN19&gt;0,11,IF(AO19&gt;0,12,"none&gt;12"))))))))))))</f>
        <v/>
      </c>
      <c r="E30" s="25">
        <f>IF(AQ19&gt;0,1,IF(AR19&gt;0,2,IF(AS19&gt;0,3,IF(AT19&gt;0,4,IF(AU19&gt;0,5,IF(AV19&gt;0,6,IF(AW19&gt;0,7,IF(AX19&gt;0,8,IF(AY19&gt;0,9,IF(AZ19&gt;0,10,IF(BA19&gt;0,11,IF(BB19&gt;0,12,"none&gt;12"))))))))))))</f>
        <v/>
      </c>
      <c r="F30" s="25">
        <f>IF(BD19&gt;0,1,IF(BE19&gt;0,2,IF(BF19&gt;0,3,IF(BG19&gt;0,4,IF(BH19&gt;0,5,IF(BI19&gt;0,6,IF(BJ19&gt;0,7,IF(BK19&gt;0,8,IF(BL19&gt;0,9,IF(BM19&gt;0,10,IF(BN19&gt;0,11,IF(BO19&gt;0,12,"none&gt;12"))))))))))))</f>
        <v/>
      </c>
      <c r="G30" s="25">
        <f>IF(BQ19&gt;0,1,IF(BR19&gt;0,2,IF(BS19&gt;0,3,IF(BT19&gt;0,4,IF(BU19&gt;0,5,IF(BV19&gt;0,6,IF(BW19&gt;0,7,IF(BX19&gt;0,8,IF(BY19&gt;0,9,IF(BZ19&gt;0,10,IF(CA19&gt;0,11,IF(CB19&gt;0,12,"none&gt;12"))))))))))))</f>
        <v/>
      </c>
      <c r="H30" s="25">
        <f>IF(CD19&gt;0,1,IF(CE19&gt;0,2,IF(CF19&gt;0,3,IF(CG19&gt;0,4,IF(CH19&gt;0,5,IF(CI19&gt;0,6,IF(CJ19&gt;0,7,IF(CK19&gt;0,8,IF(CL19&gt;0,9,IF(CM19&gt;0,10,IF(CN19&gt;0,11,IF(CO19&gt;0,12,"none&gt;12"))))))))))))</f>
        <v/>
      </c>
    </row>
    <row r="31">
      <c r="A31" s="29" t="n">
        <v>0.85</v>
      </c>
      <c r="B31" s="25">
        <f>IF(D20&gt;0,1,IF(E20&gt;0,2,IF(F20&gt;0,3,IF(G20&gt;0,4,IF(H20&gt;0,5,IF(I20&gt;0,6,IF(J20&gt;0,7,IF(K20&gt;0,8,IF(L20&gt;0,9,IF(M20&gt;0,10,IF(N20&gt;0,11,IF(O20&gt;0,12,"none&gt;12"))))))))))))</f>
        <v/>
      </c>
      <c r="C31" s="25">
        <f>IF(Q20&gt;0,1,IF(R20&gt;0,2,IF(S20&gt;0,3,IF(T20&gt;0,4,IF(U20&gt;0,5,IF(V20&gt;0,6,IF(W20&gt;0,7,IF(X20&gt;0,8,IF(Y20&gt;0,9,IF(Z20&gt;0,10,IF(AA20&gt;0,11,IF(AB20&gt;0,12,"none&gt;12"))))))))))))</f>
        <v/>
      </c>
      <c r="D31" s="25">
        <f>IF(AD20&gt;0,1,IF(AE20&gt;0,2,IF(AF20&gt;0,3,IF(AG20&gt;0,4,IF(AH20&gt;0,5,IF(AI20&gt;0,6,IF(AJ20&gt;0,7,IF(AK20&gt;0,8,IF(AL20&gt;0,9,IF(AM20&gt;0,10,IF(AN20&gt;0,11,IF(AO20&gt;0,12,"none&gt;12"))))))))))))</f>
        <v/>
      </c>
      <c r="E31" s="25">
        <f>IF(AQ20&gt;0,1,IF(AR20&gt;0,2,IF(AS20&gt;0,3,IF(AT20&gt;0,4,IF(AU20&gt;0,5,IF(AV20&gt;0,6,IF(AW20&gt;0,7,IF(AX20&gt;0,8,IF(AY20&gt;0,9,IF(AZ20&gt;0,10,IF(BA20&gt;0,11,IF(BB20&gt;0,12,"none&gt;12"))))))))))))</f>
        <v/>
      </c>
      <c r="F31" s="25">
        <f>IF(BD20&gt;0,1,IF(BE20&gt;0,2,IF(BF20&gt;0,3,IF(BG20&gt;0,4,IF(BH20&gt;0,5,IF(BI20&gt;0,6,IF(BJ20&gt;0,7,IF(BK20&gt;0,8,IF(BL20&gt;0,9,IF(BM20&gt;0,10,IF(BN20&gt;0,11,IF(BO20&gt;0,12,"none&gt;12"))))))))))))</f>
        <v/>
      </c>
      <c r="G31" s="25">
        <f>IF(BQ20&gt;0,1,IF(BR20&gt;0,2,IF(BS20&gt;0,3,IF(BT20&gt;0,4,IF(BU20&gt;0,5,IF(BV20&gt;0,6,IF(BW20&gt;0,7,IF(BX20&gt;0,8,IF(BY20&gt;0,9,IF(BZ20&gt;0,10,IF(CA20&gt;0,11,IF(CB20&gt;0,12,"none&gt;12"))))))))))))</f>
        <v/>
      </c>
      <c r="H31" s="25">
        <f>IF(CD20&gt;0,1,IF(CE20&gt;0,2,IF(CF20&gt;0,3,IF(CG20&gt;0,4,IF(CH20&gt;0,5,IF(CI20&gt;0,6,IF(CJ20&gt;0,7,IF(CK20&gt;0,8,IF(CL20&gt;0,9,IF(CM20&gt;0,10,IF(CN20&gt;0,11,IF(CO20&gt;0,12,"none&gt;12"))))))))))))</f>
        <v/>
      </c>
    </row>
    <row r="33">
      <c r="A33" s="2" t="inlineStr">
        <is>
          <t>Note: flexes the two most sensitive drivers; holds scenario growth + B2B churn fixed.</t>
        </is>
      </c>
    </row>
    <row r="34">
      <c r="A34" s="30" t="inlineStr">
        <is>
          <t>Helper grid below row 14 can be hidden; it feeds the breakeven MATCH.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2026-06-08T21:36:13Z</dcterms:created>
  <dcterms:modified xmlns:dcterms="http://purl.org/dc/terms/" xmlns:xsi="http://www.w3.org/2001/XMLSchema-instance" xsi:type="dcterms:W3CDTF">2026-06-08T21:36:14Z</dcterms:modified>
</cp:coreProperties>
</file>