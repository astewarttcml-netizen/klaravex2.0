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Cost to Serve" sheetId="3" state="visible" r:id="rId5"/>
    <sheet name="Tier Margins (Current)" sheetId="4" state="visible" r:id="rId6"/>
    <sheet name="Proposed Ti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<sst xmlns="http://schemas.openxmlformats.org/spreadsheetml/2006/main" count="103" uniqueCount="87">
  <si>
    <t xml:space="preserve">Pricing Model — how to read it</t>
  </si>
  <si>
    <t xml:space="preserve">Inputs</t>
  </si>
  <si>
    <t xml:space="preserve">Change blue cells. Hourly value, agent cost, fees, tooling, volume, two automation levels, and utilization drive everything.</t>
  </si>
  <si>
    <t xml:space="preserve">Cost to Serve</t>
  </si>
  <si>
    <t xml:space="preserve">How cost falls as the agent handles more. The high-vs-low-automation gap is your real overhead saving.</t>
  </si>
  <si>
    <t xml:space="preserve">Tier Margins (Current)</t>
  </si>
  <si>
    <t xml:space="preserve">Your live prices at Phase 1 (you deliver) vs Phase 2 (agent delivers), now adjusted for utilization. Red = loss.</t>
  </si>
  <si>
    <t xml:space="preserve">Proposed Tiers</t>
  </si>
  <si>
    <t xml:space="preserve">A structure that actually works: agent-only $19 on-ramp, human-backed Essential $59, repriced Family $99, $99 per-session, and a temporary $39 founding rate.</t>
  </si>
  <si>
    <t xml:space="preserve">KEY INSIGHT</t>
  </si>
  <si>
    <t xml:space="preserve">At $150/hr a 60-min human session costs ~$150 to deliver. Consumer prices are PHASE-2 products — profitable only when the agent delivers. In Phase 1 they're a deliberate, time-boxed loss leader. Cap the volume.</t>
  </si>
  <si>
    <t xml:space="preserve">UTILIZATION</t>
  </si>
  <si>
    <t xml:space="preserve">Monthly margins depend heavily on how many included sessions go unused (breakage). Default 60% utilization. Price to survive worst-case (100% use), profit on breakage — never the reverse.</t>
  </si>
  <si>
    <t xml:space="preserve">PASSING SAVINGS</t>
  </si>
  <si>
    <t xml:space="preserve">Pass savings ONLY as categories graduate (use the tracker). Hold price + add value where AI is cheap; cut headline price only on the genuinely agent-only tier; use the founding rate to give an early discount without anchoring low.</t>
  </si>
  <si>
    <t xml:space="preserve">Pricing Model — Inputs</t>
  </si>
  <si>
    <t xml:space="preserve">Edit the highlighted (blue) cells. Everything else recalculates.</t>
  </si>
  <si>
    <t xml:space="preserve">Your hourly value (human time)</t>
  </si>
  <si>
    <t xml:space="preserve">$/hr — value of an hour of your time</t>
  </si>
  <si>
    <t xml:space="preserve">  → Value per minute</t>
  </si>
  <si>
    <t xml:space="preserve">auto = hourly / 60</t>
  </si>
  <si>
    <t xml:space="preserve">Agent cost per case</t>
  </si>
  <si>
    <t xml:space="preserve">AI/API/compute to handle one case</t>
  </si>
  <si>
    <t xml:space="preserve">Payment processing fee</t>
  </si>
  <si>
    <t xml:space="preserve">card/Stripe ~3%</t>
  </si>
  <si>
    <t xml:space="preserve">Tooling — fixed monthly</t>
  </si>
  <si>
    <t xml:space="preserve">Atera + Loki/Hetzner share + misc</t>
  </si>
  <si>
    <t xml:space="preserve">Est. monthly case volume</t>
  </si>
  <si>
    <t xml:space="preserve">spreads fixed cost across cases</t>
  </si>
  <si>
    <t xml:space="preserve">  → Fixed cost per case</t>
  </si>
  <si>
    <t xml:space="preserve">auto = fixed monthly / volume</t>
  </si>
  <si>
    <t xml:space="preserve">Default session length (min)</t>
  </si>
  <si>
    <t xml:space="preserve">baseline session duration</t>
  </si>
  <si>
    <t xml:space="preserve">Phase 1 automation % (you-heavy)</t>
  </si>
  <si>
    <t xml:space="preserve">agent share while you supervise everything</t>
  </si>
  <si>
    <t xml:space="preserve">Phase 2 automation % (agent-heavy)</t>
  </si>
  <si>
    <t xml:space="preserve">agent share after graduation</t>
  </si>
  <si>
    <t xml:space="preserve">Monthly-plan utilization %</t>
  </si>
  <si>
    <t xml:space="preserve">share of INCLUDED sessions subscribers actually use (breakage lives here)</t>
  </si>
  <si>
    <t xml:space="preserve">Cost to Serve a 60-min Session vs. Automation</t>
  </si>
  <si>
    <t xml:space="preserve">As the agent handles more, your time drops out and cost falls. This gap IS the overhead saving — real only once agents deliver.</t>
  </si>
  <si>
    <t xml:space="preserve">Automation %</t>
  </si>
  <si>
    <t xml:space="preserve">Human minutes</t>
  </si>
  <si>
    <t xml:space="preserve">Human cost</t>
  </si>
  <si>
    <t xml:space="preserve">Agent cost</t>
  </si>
  <si>
    <t xml:space="preserve">Fixed/case</t>
  </si>
  <si>
    <t xml:space="preserve">Current Prices — Phase 1 vs Phase 2, adjusted for utilization</t>
  </si>
  <si>
    <t xml:space="preserve">Total cost now reflects sessions ACTUALLY used (sessions x utilization). Red margin = losing money.</t>
  </si>
  <si>
    <t xml:space="preserve">Tier</t>
  </si>
  <si>
    <t xml:space="preserve">Price</t>
  </si>
  <si>
    <t xml:space="preserve">Billing</t>
  </si>
  <si>
    <t xml:space="preserve">Sessions /cycle</t>
  </si>
  <si>
    <t xml:space="preserve">Util %</t>
  </si>
  <si>
    <t xml:space="preserve">Session min</t>
  </si>
  <si>
    <t xml:space="preserve">Cost/sess P1</t>
  </si>
  <si>
    <t xml:space="preserve">Total cost P1</t>
  </si>
  <si>
    <t xml:space="preserve">Fees</t>
  </si>
  <si>
    <t xml:space="preserve">Margin $ P1</t>
  </si>
  <si>
    <t xml:space="preserve">Margin % P1</t>
  </si>
  <si>
    <t xml:space="preserve">Cost/sess P2</t>
  </si>
  <si>
    <t xml:space="preserve">Total cost P2</t>
  </si>
  <si>
    <t xml:space="preserve">Margin $ P2</t>
  </si>
  <si>
    <t xml:space="preserve">Margin % P2</t>
  </si>
  <si>
    <t xml:space="preserve">Break-even auto %</t>
  </si>
  <si>
    <t xml:space="preserve">One-time session</t>
  </si>
  <si>
    <t xml:space="preserve">one-time</t>
  </si>
  <si>
    <t xml:space="preserve">Monthly support</t>
  </si>
  <si>
    <t xml:space="preserve">monthly</t>
  </si>
  <si>
    <t xml:space="preserve">Family plan</t>
  </si>
  <si>
    <t xml:space="preserve">AI-first self-serve (old idea)</t>
  </si>
  <si>
    <t xml:space="preserve">Proposed Tier Structure — built for agent delivery</t>
  </si>
  <si>
    <t xml:space="preserve">Each tier priced for its real automation level. Agent-only entry tier is cheap because it IS low-overhead. Founding rate is explicitly temporary.</t>
  </si>
  <si>
    <t xml:space="preserve">Cost/sess</t>
  </si>
  <si>
    <t xml:space="preserve">Total cost</t>
  </si>
  <si>
    <t xml:space="preserve">Margin $</t>
  </si>
  <si>
    <t xml:space="preserve">Margin %</t>
  </si>
  <si>
    <t xml:space="preserve">Notes</t>
  </si>
  <si>
    <t xml:space="preserve">AI Chat (agent-only)</t>
  </si>
  <si>
    <t xml:space="preserve">Unlimited chat modeled as 8 agent touches/mo. Cheap because it's truly low-overhead. The on-ramp for people who can't pay more.</t>
  </si>
  <si>
    <t xml:space="preserve">Essential (human-backed)</t>
  </si>
  <si>
    <t xml:space="preserve">AI-first, certified human on escalation. Hold price, add 24/7 + unlimited quick questions.</t>
  </si>
  <si>
    <t xml:space="preserve">Family</t>
  </si>
  <si>
    <t xml:space="preserve">Repriced from $79 — $79 was underwater even fully automated. $99 covers worst-case, profits on breakage.</t>
  </si>
  <si>
    <t xml:space="preserve">Per-session</t>
  </si>
  <si>
    <t xml:space="preserve">Raised from $75. No-commitment rate should sit ABOVE the monthly per-session equivalent to push subscriptions.</t>
  </si>
  <si>
    <t xml:space="preserve">Founding rate — Essential (6 mo)</t>
  </si>
  <si>
    <t xml:space="preserve">TEMPORARY. First 50 clients, 6 months, then reverts to $59. Lets you 'pass savings' now without anchoring low.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</si>
</sst>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2E5496"/>
      </patternFill>
    </fill>
    <fill>
      <patternFill patternType="solid">
        <fgColor rgb="FF375623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32.8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7" customFormat="false" ht="15" hidden="false" customHeight="false" outlineLevel="0" collapsed="false">
      <c r="A7" s="2" t="s">
        <v>9</v>
      </c>
    </row>
    <row r="8" customFormat="false" ht="23.85" hidden="false" customHeight="false" outlineLevel="0" collapsed="false">
      <c r="A8" s="2"/>
      <c r="B8" s="3" t="s">
        <v>10</v>
      </c>
    </row>
    <row r="9" customFormat="false" ht="15" hidden="false" customHeight="false" outlineLevel="0" collapsed="false">
      <c r="A9" s="2" t="s">
        <v>11</v>
      </c>
    </row>
    <row r="10" customFormat="false" ht="23.85" hidden="false" customHeight="false" outlineLevel="0" collapsed="false">
      <c r="A10" s="2"/>
      <c r="B10" s="3" t="s">
        <v>12</v>
      </c>
    </row>
    <row r="11" customFormat="false" ht="15" hidden="false" customHeight="false" outlineLevel="0" collapsed="false">
      <c r="A11" s="2" t="s">
        <v>13</v>
      </c>
    </row>
    <row r="12" customFormat="false" ht="35.05" hidden="false" customHeight="false" outlineLevel="0" collapsed="false">
      <c r="A12" s="2"/>
      <c r="B1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4" t="s">
        <v>15</v>
      </c>
    </row>
    <row r="2" customFormat="false" ht="15" hidden="false" customHeight="false" outlineLevel="0" collapsed="false">
      <c r="A2" s="5" t="s">
        <v>16</v>
      </c>
    </row>
    <row r="4" customFormat="false" ht="15" hidden="false" customHeight="false" outlineLevel="0" collapsed="false">
      <c r="A4" s="2" t="s">
        <v>17</v>
      </c>
      <c r="B4" s="6" t="n">
        <v>150</v>
      </c>
      <c r="C4" s="7" t="s">
        <v>18</v>
      </c>
    </row>
    <row r="5" customFormat="false" ht="15" hidden="false" customHeight="false" outlineLevel="0" collapsed="false">
      <c r="A5" s="3" t="s">
        <v>19</v>
      </c>
      <c r="B5" s="8" t="n">
        <f aca="false">B4/60</f>
        <v>2.5</v>
      </c>
      <c r="C5" s="7" t="s">
        <v>20</v>
      </c>
    </row>
    <row r="6" customFormat="false" ht="15" hidden="false" customHeight="false" outlineLevel="0" collapsed="false">
      <c r="A6" s="2" t="s">
        <v>21</v>
      </c>
      <c r="B6" s="6" t="n">
        <v>1</v>
      </c>
      <c r="C6" s="7" t="s">
        <v>22</v>
      </c>
    </row>
    <row r="7" customFormat="false" ht="15" hidden="false" customHeight="false" outlineLevel="0" collapsed="false">
      <c r="A7" s="2" t="s">
        <v>23</v>
      </c>
      <c r="B7" s="9" t="n">
        <v>0.03</v>
      </c>
      <c r="C7" s="7" t="s">
        <v>24</v>
      </c>
    </row>
    <row r="8" customFormat="false" ht="15" hidden="false" customHeight="false" outlineLevel="0" collapsed="false">
      <c r="A8" s="2" t="s">
        <v>25</v>
      </c>
      <c r="B8" s="6" t="n">
        <v>200</v>
      </c>
      <c r="C8" s="7" t="s">
        <v>26</v>
      </c>
    </row>
    <row r="9" customFormat="false" ht="15" hidden="false" customHeight="false" outlineLevel="0" collapsed="false">
      <c r="A9" s="2" t="s">
        <v>27</v>
      </c>
      <c r="B9" s="10" t="n">
        <v>50</v>
      </c>
      <c r="C9" s="7" t="s">
        <v>28</v>
      </c>
    </row>
    <row r="10" customFormat="false" ht="15" hidden="false" customHeight="false" outlineLevel="0" collapsed="false">
      <c r="A10" s="3" t="s">
        <v>29</v>
      </c>
      <c r="B10" s="8" t="n">
        <f aca="false">B8/B9</f>
        <v>4</v>
      </c>
      <c r="C10" s="7" t="s">
        <v>30</v>
      </c>
    </row>
    <row r="11" customFormat="false" ht="15" hidden="false" customHeight="false" outlineLevel="0" collapsed="false">
      <c r="A11" s="2" t="s">
        <v>31</v>
      </c>
      <c r="B11" s="10" t="n">
        <v>60</v>
      </c>
      <c r="C11" s="7" t="s">
        <v>32</v>
      </c>
    </row>
    <row r="12" customFormat="false" ht="15" hidden="false" customHeight="false" outlineLevel="0" collapsed="false">
      <c r="A12" s="2" t="s">
        <v>33</v>
      </c>
      <c r="B12" s="11" t="n">
        <v>0.1</v>
      </c>
      <c r="C12" s="7" t="s">
        <v>34</v>
      </c>
    </row>
    <row r="13" customFormat="false" ht="15" hidden="false" customHeight="false" outlineLevel="0" collapsed="false">
      <c r="A13" s="2" t="s">
        <v>35</v>
      </c>
      <c r="B13" s="11" t="n">
        <v>0.89</v>
      </c>
      <c r="C13" s="7" t="s">
        <v>36</v>
      </c>
    </row>
    <row r="14" customFormat="false" ht="22.35" hidden="false" customHeight="false" outlineLevel="0" collapsed="false">
      <c r="A14" s="2" t="s">
        <v>37</v>
      </c>
      <c r="B14" s="11" t="n">
        <v>0.6</v>
      </c>
      <c r="C14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4" t="s">
        <v>39</v>
      </c>
    </row>
    <row r="2" customFormat="false" ht="15" hidden="false" customHeight="false" outlineLevel="0" collapsed="false">
      <c r="A2" s="5" t="s">
        <v>40</v>
      </c>
    </row>
    <row r="4" customFormat="false" ht="23.85" hidden="false" customHeight="false" outlineLevel="0" collapsed="false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3</v>
      </c>
    </row>
    <row r="5" customFormat="false" ht="15" hidden="false" customHeight="false" outlineLevel="0" collapsed="false">
      <c r="A5" s="13" t="n">
        <v>0</v>
      </c>
      <c r="B5" s="14" t="n">
        <f aca="false">Inputs!$B$11*(1-A5)</f>
        <v>60</v>
      </c>
      <c r="C5" s="15" t="n">
        <f aca="false">B5*Inputs!$B$5</f>
        <v>150</v>
      </c>
      <c r="D5" s="15" t="n">
        <f aca="false">Inputs!$B$6</f>
        <v>1</v>
      </c>
      <c r="E5" s="15" t="n">
        <f aca="false">Inputs!$B$10</f>
        <v>4</v>
      </c>
      <c r="F5" s="15" t="n">
        <f aca="false">C5+D5+E5</f>
        <v>155</v>
      </c>
    </row>
    <row r="6" customFormat="false" ht="15" hidden="false" customHeight="false" outlineLevel="0" collapsed="false">
      <c r="A6" s="16" t="n">
        <v>0.1</v>
      </c>
      <c r="B6" s="17" t="n">
        <f aca="false">Inputs!$B$11*(1-A6)</f>
        <v>54</v>
      </c>
      <c r="C6" s="18" t="n">
        <f aca="false">B6*Inputs!$B$5</f>
        <v>135</v>
      </c>
      <c r="D6" s="18" t="n">
        <f aca="false">Inputs!$B$6</f>
        <v>1</v>
      </c>
      <c r="E6" s="18" t="n">
        <f aca="false">Inputs!$B$10</f>
        <v>4</v>
      </c>
      <c r="F6" s="18" t="n">
        <f aca="false">C6+D6+E6</f>
        <v>140</v>
      </c>
    </row>
    <row r="7" customFormat="false" ht="15" hidden="false" customHeight="false" outlineLevel="0" collapsed="false">
      <c r="A7" s="13" t="n">
        <v>0.25</v>
      </c>
      <c r="B7" s="14" t="n">
        <f aca="false">Inputs!$B$11*(1-A7)</f>
        <v>45</v>
      </c>
      <c r="C7" s="15" t="n">
        <f aca="false">B7*Inputs!$B$5</f>
        <v>112.5</v>
      </c>
      <c r="D7" s="15" t="n">
        <f aca="false">Inputs!$B$6</f>
        <v>1</v>
      </c>
      <c r="E7" s="15" t="n">
        <f aca="false">Inputs!$B$10</f>
        <v>4</v>
      </c>
      <c r="F7" s="15" t="n">
        <f aca="false">C7+D7+E7</f>
        <v>117.5</v>
      </c>
    </row>
    <row r="8" customFormat="false" ht="15" hidden="false" customHeight="false" outlineLevel="0" collapsed="false">
      <c r="A8" s="16" t="n">
        <v>0.5</v>
      </c>
      <c r="B8" s="17" t="n">
        <f aca="false">Inputs!$B$11*(1-A8)</f>
        <v>30</v>
      </c>
      <c r="C8" s="18" t="n">
        <f aca="false">B8*Inputs!$B$5</f>
        <v>75</v>
      </c>
      <c r="D8" s="18" t="n">
        <f aca="false">Inputs!$B$6</f>
        <v>1</v>
      </c>
      <c r="E8" s="18" t="n">
        <f aca="false">Inputs!$B$10</f>
        <v>4</v>
      </c>
      <c r="F8" s="18" t="n">
        <f aca="false">C8+D8+E8</f>
        <v>80</v>
      </c>
    </row>
    <row r="9" customFormat="false" ht="15" hidden="false" customHeight="false" outlineLevel="0" collapsed="false">
      <c r="A9" s="13" t="n">
        <v>0.75</v>
      </c>
      <c r="B9" s="14" t="n">
        <f aca="false">Inputs!$B$11*(1-A9)</f>
        <v>15</v>
      </c>
      <c r="C9" s="15" t="n">
        <f aca="false">B9*Inputs!$B$5</f>
        <v>37.5</v>
      </c>
      <c r="D9" s="15" t="n">
        <f aca="false">Inputs!$B$6</f>
        <v>1</v>
      </c>
      <c r="E9" s="15" t="n">
        <f aca="false">Inputs!$B$10</f>
        <v>4</v>
      </c>
      <c r="F9" s="15" t="n">
        <f aca="false">C9+D9+E9</f>
        <v>42.5</v>
      </c>
    </row>
    <row r="10" customFormat="false" ht="15" hidden="false" customHeight="false" outlineLevel="0" collapsed="false">
      <c r="A10" s="16" t="n">
        <v>0.89</v>
      </c>
      <c r="B10" s="17" t="n">
        <f aca="false">Inputs!$B$11*(1-A10)</f>
        <v>6.6</v>
      </c>
      <c r="C10" s="18" t="n">
        <f aca="false">B10*Inputs!$B$5</f>
        <v>16.5</v>
      </c>
      <c r="D10" s="18" t="n">
        <f aca="false">Inputs!$B$6</f>
        <v>1</v>
      </c>
      <c r="E10" s="18" t="n">
        <f aca="false">Inputs!$B$10</f>
        <v>4</v>
      </c>
      <c r="F10" s="18" t="n">
        <f aca="false">C10+D10+E10</f>
        <v>21.5</v>
      </c>
    </row>
    <row r="11" customFormat="false" ht="15" hidden="false" customHeight="false" outlineLevel="0" collapsed="false">
      <c r="A11" s="13" t="n">
        <v>0.95</v>
      </c>
      <c r="B11" s="14" t="n">
        <f aca="false">Inputs!$B$11*(1-A11)</f>
        <v>3</v>
      </c>
      <c r="C11" s="15" t="n">
        <f aca="false">B11*Inputs!$B$5</f>
        <v>7.50000000000001</v>
      </c>
      <c r="D11" s="15" t="n">
        <f aca="false">Inputs!$B$6</f>
        <v>1</v>
      </c>
      <c r="E11" s="15" t="n">
        <f aca="false">Inputs!$B$10</f>
        <v>4</v>
      </c>
      <c r="F11" s="15" t="n">
        <f aca="false">C11+D11+E11</f>
        <v>12.5</v>
      </c>
    </row>
    <row r="12" customFormat="false" ht="15" hidden="false" customHeight="false" outlineLevel="0" collapsed="false">
      <c r="A12" s="16" t="n">
        <v>1</v>
      </c>
      <c r="B12" s="17" t="n">
        <f aca="false">Inputs!$B$11*(1-A12)</f>
        <v>0</v>
      </c>
      <c r="C12" s="18" t="n">
        <f aca="false">B12*Inputs!$B$5</f>
        <v>0</v>
      </c>
      <c r="D12" s="18" t="n">
        <f aca="false">Inputs!$B$6</f>
        <v>1</v>
      </c>
      <c r="E12" s="18" t="n">
        <f aca="false">Inputs!$B$10</f>
        <v>4</v>
      </c>
      <c r="F12" s="18" t="n">
        <f aca="false">C12+D12+E12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5" min="10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4" t="s">
        <v>46</v>
      </c>
    </row>
    <row r="2" customFormat="false" ht="15" hidden="false" customHeight="false" outlineLevel="0" collapsed="false">
      <c r="A2" s="5" t="s">
        <v>47</v>
      </c>
    </row>
    <row r="4" customFormat="false" ht="23.85" hidden="false" customHeight="false" outlineLevel="0" collapsed="false">
      <c r="A4" s="19" t="s">
        <v>48</v>
      </c>
      <c r="B4" s="19" t="s">
        <v>49</v>
      </c>
      <c r="C4" s="19" t="s">
        <v>50</v>
      </c>
      <c r="D4" s="19" t="s">
        <v>51</v>
      </c>
      <c r="E4" s="19" t="s">
        <v>52</v>
      </c>
      <c r="F4" s="19" t="s">
        <v>53</v>
      </c>
      <c r="G4" s="19" t="s">
        <v>54</v>
      </c>
      <c r="H4" s="19" t="s">
        <v>55</v>
      </c>
      <c r="I4" s="19" t="s">
        <v>56</v>
      </c>
      <c r="J4" s="19" t="s">
        <v>57</v>
      </c>
      <c r="K4" s="19" t="s">
        <v>58</v>
      </c>
      <c r="L4" s="19" t="s">
        <v>59</v>
      </c>
      <c r="M4" s="19" t="s">
        <v>60</v>
      </c>
      <c r="N4" s="19" t="s">
        <v>61</v>
      </c>
      <c r="O4" s="19" t="s">
        <v>62</v>
      </c>
      <c r="P4" s="19" t="s">
        <v>63</v>
      </c>
    </row>
    <row r="5" customFormat="false" ht="15" hidden="false" customHeight="false" outlineLevel="0" collapsed="false">
      <c r="A5" s="20" t="s">
        <v>64</v>
      </c>
      <c r="B5" s="6" t="n">
        <v>75</v>
      </c>
      <c r="C5" s="21" t="s">
        <v>65</v>
      </c>
      <c r="D5" s="22" t="n">
        <v>1</v>
      </c>
      <c r="E5" s="13" t="n">
        <f aca="false">1</f>
        <v>1</v>
      </c>
      <c r="F5" s="22" t="n">
        <v>60</v>
      </c>
      <c r="G5" s="15" t="n">
        <f aca="false">F5*(1-Inputs!$B$12)*Inputs!$B$5+Inputs!$B$6+Inputs!$B$10</f>
        <v>140</v>
      </c>
      <c r="H5" s="15" t="n">
        <f aca="false">G5*D5*E5</f>
        <v>140</v>
      </c>
      <c r="I5" s="15" t="n">
        <f aca="false">B5*Inputs!$B$7</f>
        <v>2.25</v>
      </c>
      <c r="J5" s="15" t="n">
        <f aca="false">B5-H5-I5</f>
        <v>-67.25</v>
      </c>
      <c r="K5" s="13" t="n">
        <f aca="false">J5/B5</f>
        <v>-0.896666666666667</v>
      </c>
      <c r="L5" s="15" t="n">
        <f aca="false">F5*(1-Inputs!$B$13)*Inputs!$B$5+Inputs!$B$6+Inputs!$B$10</f>
        <v>21.5</v>
      </c>
      <c r="M5" s="15" t="n">
        <f aca="false">L5*D5*E5</f>
        <v>21.5</v>
      </c>
      <c r="N5" s="15" t="n">
        <f aca="false">B5-M5-I5</f>
        <v>51.25</v>
      </c>
      <c r="O5" s="13" t="n">
        <f aca="false">N5/B5</f>
        <v>0.683333333333333</v>
      </c>
      <c r="P5" s="13" t="n">
        <f aca="false">1-((B5*(1-Inputs!$B$7)-D5*E5*(Inputs!$B$6+Inputs!$B$10))/(D5*E5*F5*Inputs!$B$5))</f>
        <v>0.548333333333333</v>
      </c>
    </row>
    <row r="6" customFormat="false" ht="15" hidden="false" customHeight="false" outlineLevel="0" collapsed="false">
      <c r="A6" s="20" t="s">
        <v>66</v>
      </c>
      <c r="B6" s="6" t="n">
        <v>49</v>
      </c>
      <c r="C6" s="21" t="s">
        <v>67</v>
      </c>
      <c r="D6" s="22" t="n">
        <v>2</v>
      </c>
      <c r="E6" s="13" t="n">
        <f aca="false">Inputs!$B$14</f>
        <v>0.6</v>
      </c>
      <c r="F6" s="22" t="n">
        <v>60</v>
      </c>
      <c r="G6" s="15" t="n">
        <f aca="false">F6*(1-Inputs!$B$12)*Inputs!$B$5+Inputs!$B$6+Inputs!$B$10</f>
        <v>140</v>
      </c>
      <c r="H6" s="15" t="n">
        <f aca="false">G6*D6*E6</f>
        <v>168</v>
      </c>
      <c r="I6" s="15" t="n">
        <f aca="false">B6*Inputs!$B$7</f>
        <v>1.47</v>
      </c>
      <c r="J6" s="15" t="n">
        <f aca="false">B6-H6-I6</f>
        <v>-120.47</v>
      </c>
      <c r="K6" s="13" t="n">
        <f aca="false">J6/B6</f>
        <v>-2.45857142857143</v>
      </c>
      <c r="L6" s="15" t="n">
        <f aca="false">F6*(1-Inputs!$B$13)*Inputs!$B$5+Inputs!$B$6+Inputs!$B$10</f>
        <v>21.5</v>
      </c>
      <c r="M6" s="15" t="n">
        <f aca="false">L6*D6*E6</f>
        <v>25.8</v>
      </c>
      <c r="N6" s="15" t="n">
        <f aca="false">B6-M6-I6</f>
        <v>21.73</v>
      </c>
      <c r="O6" s="13" t="n">
        <f aca="false">N6/B6</f>
        <v>0.443469387755102</v>
      </c>
      <c r="P6" s="13" t="n">
        <f aca="false">1-((B6*(1-Inputs!$B$7)-D6*E6*(Inputs!$B$6+Inputs!$B$10))/(D6*E6*F6*Inputs!$B$5))</f>
        <v>0.769277777777778</v>
      </c>
    </row>
    <row r="7" customFormat="false" ht="15" hidden="false" customHeight="false" outlineLevel="0" collapsed="false">
      <c r="A7" s="20" t="s">
        <v>68</v>
      </c>
      <c r="B7" s="6" t="n">
        <v>79</v>
      </c>
      <c r="C7" s="21" t="s">
        <v>67</v>
      </c>
      <c r="D7" s="22" t="n">
        <v>4</v>
      </c>
      <c r="E7" s="13" t="n">
        <f aca="false">Inputs!$B$14</f>
        <v>0.6</v>
      </c>
      <c r="F7" s="22" t="n">
        <v>60</v>
      </c>
      <c r="G7" s="15" t="n">
        <f aca="false">F7*(1-Inputs!$B$12)*Inputs!$B$5+Inputs!$B$6+Inputs!$B$10</f>
        <v>140</v>
      </c>
      <c r="H7" s="15" t="n">
        <f aca="false">G7*D7*E7</f>
        <v>336</v>
      </c>
      <c r="I7" s="15" t="n">
        <f aca="false">B7*Inputs!$B$7</f>
        <v>2.37</v>
      </c>
      <c r="J7" s="15" t="n">
        <f aca="false">B7-H7-I7</f>
        <v>-259.37</v>
      </c>
      <c r="K7" s="13" t="n">
        <f aca="false">J7/B7</f>
        <v>-3.28316455696203</v>
      </c>
      <c r="L7" s="15" t="n">
        <f aca="false">F7*(1-Inputs!$B$13)*Inputs!$B$5+Inputs!$B$6+Inputs!$B$10</f>
        <v>21.5</v>
      </c>
      <c r="M7" s="15" t="n">
        <f aca="false">L7*D7*E7</f>
        <v>51.6</v>
      </c>
      <c r="N7" s="15" t="n">
        <f aca="false">B7-M7-I7</f>
        <v>25.03</v>
      </c>
      <c r="O7" s="13" t="n">
        <f aca="false">N7/B7</f>
        <v>0.316835443037975</v>
      </c>
      <c r="P7" s="13" t="n">
        <f aca="false">1-((B7*(1-Inputs!$B$7)-D7*E7*(Inputs!$B$6+Inputs!$B$10))/(D7*E7*F7*Inputs!$B$5))</f>
        <v>0.820472222222222</v>
      </c>
    </row>
    <row r="8" customFormat="false" ht="23.85" hidden="false" customHeight="false" outlineLevel="0" collapsed="false">
      <c r="A8" s="20" t="s">
        <v>69</v>
      </c>
      <c r="B8" s="6" t="n">
        <v>25</v>
      </c>
      <c r="C8" s="21" t="s">
        <v>67</v>
      </c>
      <c r="D8" s="22" t="n">
        <v>4</v>
      </c>
      <c r="E8" s="13" t="n">
        <f aca="false">Inputs!$B$14</f>
        <v>0.6</v>
      </c>
      <c r="F8" s="22" t="n">
        <v>30</v>
      </c>
      <c r="G8" s="15" t="n">
        <f aca="false">F8*(1-Inputs!$B$12)*Inputs!$B$5+Inputs!$B$6+Inputs!$B$10</f>
        <v>72.5</v>
      </c>
      <c r="H8" s="15" t="n">
        <f aca="false">G8*D8*E8</f>
        <v>174</v>
      </c>
      <c r="I8" s="15" t="n">
        <f aca="false">B8*Inputs!$B$7</f>
        <v>0.75</v>
      </c>
      <c r="J8" s="15" t="n">
        <f aca="false">B8-H8-I8</f>
        <v>-149.75</v>
      </c>
      <c r="K8" s="13" t="n">
        <f aca="false">J8/B8</f>
        <v>-5.99</v>
      </c>
      <c r="L8" s="15" t="n">
        <f aca="false">F8*(1-Inputs!$B$13)*Inputs!$B$5+Inputs!$B$6+Inputs!$B$10</f>
        <v>13.25</v>
      </c>
      <c r="M8" s="15" t="n">
        <f aca="false">L8*D8*E8</f>
        <v>31.8</v>
      </c>
      <c r="N8" s="15" t="n">
        <f aca="false">B8-M8-I8</f>
        <v>-7.55</v>
      </c>
      <c r="O8" s="13" t="n">
        <f aca="false">N8/B8</f>
        <v>-0.302</v>
      </c>
      <c r="P8" s="13" t="n">
        <f aca="false">1-((B8*(1-Inputs!$B$7)-D8*E8*(Inputs!$B$6+Inputs!$B$10))/(D8*E8*F8*Inputs!$B$5))</f>
        <v>0.931944444444445</v>
      </c>
    </row>
  </sheetData>
  <conditionalFormatting sqref="K5:K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O5:O8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P5:P8">
    <cfRule type="cellIs" priority="6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4" t="s">
        <v>70</v>
      </c>
    </row>
    <row r="2" customFormat="false" ht="15" hidden="false" customHeight="false" outlineLevel="0" collapsed="false">
      <c r="A2" s="5" t="s">
        <v>71</v>
      </c>
    </row>
    <row r="4" customFormat="false" ht="23.85" hidden="false" customHeight="false" outlineLevel="0" collapsed="false">
      <c r="A4" s="23" t="s">
        <v>48</v>
      </c>
      <c r="B4" s="23" t="s">
        <v>49</v>
      </c>
      <c r="C4" s="23" t="s">
        <v>50</v>
      </c>
      <c r="D4" s="23" t="s">
        <v>51</v>
      </c>
      <c r="E4" s="23" t="s">
        <v>52</v>
      </c>
      <c r="F4" s="23" t="s">
        <v>53</v>
      </c>
      <c r="G4" s="23" t="s">
        <v>41</v>
      </c>
      <c r="H4" s="23" t="s">
        <v>72</v>
      </c>
      <c r="I4" s="23" t="s">
        <v>73</v>
      </c>
      <c r="J4" s="23" t="s">
        <v>56</v>
      </c>
      <c r="K4" s="23" t="s">
        <v>74</v>
      </c>
      <c r="L4" s="23" t="s">
        <v>75</v>
      </c>
      <c r="M4" s="23" t="s">
        <v>76</v>
      </c>
    </row>
    <row r="5" customFormat="false" ht="32.8" hidden="false" customHeight="false" outlineLevel="0" collapsed="false">
      <c r="A5" s="20" t="s">
        <v>77</v>
      </c>
      <c r="B5" s="6" t="n">
        <v>19</v>
      </c>
      <c r="C5" s="21" t="s">
        <v>67</v>
      </c>
      <c r="D5" s="22" t="n">
        <v>8</v>
      </c>
      <c r="E5" s="13" t="n">
        <f aca="false">0.5</f>
        <v>0.5</v>
      </c>
      <c r="F5" s="22" t="n">
        <v>10</v>
      </c>
      <c r="G5" s="13" t="n">
        <f aca="false">1</f>
        <v>1</v>
      </c>
      <c r="H5" s="15" t="n">
        <f aca="false">F5*(1-G5)*Inputs!$B$5+Inputs!$B$6+Inputs!$B$10</f>
        <v>5</v>
      </c>
      <c r="I5" s="15" t="n">
        <f aca="false">H5*D5*E5</f>
        <v>20</v>
      </c>
      <c r="J5" s="15" t="n">
        <f aca="false">B5*Inputs!$B$7</f>
        <v>0.57</v>
      </c>
      <c r="K5" s="15" t="n">
        <f aca="false">B5-I5-J5</f>
        <v>-1.57</v>
      </c>
      <c r="L5" s="13" t="n">
        <f aca="false">K5/B5</f>
        <v>-0.0826315789473684</v>
      </c>
      <c r="M5" s="24" t="s">
        <v>78</v>
      </c>
    </row>
    <row r="6" customFormat="false" ht="22.35" hidden="false" customHeight="false" outlineLevel="0" collapsed="false">
      <c r="A6" s="20" t="s">
        <v>79</v>
      </c>
      <c r="B6" s="6" t="n">
        <v>59</v>
      </c>
      <c r="C6" s="21" t="s">
        <v>67</v>
      </c>
      <c r="D6" s="22" t="n">
        <v>2</v>
      </c>
      <c r="E6" s="13" t="n">
        <f aca="false">Inputs!$B$14</f>
        <v>0.6</v>
      </c>
      <c r="F6" s="22" t="n">
        <v>60</v>
      </c>
      <c r="G6" s="13" t="n">
        <f aca="false">Inputs!$B$13</f>
        <v>0.89</v>
      </c>
      <c r="H6" s="15" t="n">
        <f aca="false">F6*(1-G6)*Inputs!$B$5+Inputs!$B$6+Inputs!$B$10</f>
        <v>21.5</v>
      </c>
      <c r="I6" s="15" t="n">
        <f aca="false">H6*D6*E6</f>
        <v>25.8</v>
      </c>
      <c r="J6" s="15" t="n">
        <f aca="false">B6*Inputs!$B$7</f>
        <v>1.77</v>
      </c>
      <c r="K6" s="15" t="n">
        <f aca="false">B6-I6-J6</f>
        <v>31.43</v>
      </c>
      <c r="L6" s="13" t="n">
        <f aca="false">K6/B6</f>
        <v>0.53271186440678</v>
      </c>
      <c r="M6" s="24" t="s">
        <v>80</v>
      </c>
    </row>
    <row r="7" customFormat="false" ht="32.8" hidden="false" customHeight="false" outlineLevel="0" collapsed="false">
      <c r="A7" s="20" t="s">
        <v>81</v>
      </c>
      <c r="B7" s="6" t="n">
        <v>99</v>
      </c>
      <c r="C7" s="21" t="s">
        <v>67</v>
      </c>
      <c r="D7" s="22" t="n">
        <v>4</v>
      </c>
      <c r="E7" s="13" t="n">
        <f aca="false">Inputs!$B$14</f>
        <v>0.6</v>
      </c>
      <c r="F7" s="22" t="n">
        <v>60</v>
      </c>
      <c r="G7" s="13" t="n">
        <f aca="false">Inputs!$B$13</f>
        <v>0.89</v>
      </c>
      <c r="H7" s="15" t="n">
        <f aca="false">F7*(1-G7)*Inputs!$B$5+Inputs!$B$6+Inputs!$B$10</f>
        <v>21.5</v>
      </c>
      <c r="I7" s="15" t="n">
        <f aca="false">H7*D7*E7</f>
        <v>51.6</v>
      </c>
      <c r="J7" s="15" t="n">
        <f aca="false">B7*Inputs!$B$7</f>
        <v>2.97</v>
      </c>
      <c r="K7" s="15" t="n">
        <f aca="false">B7-I7-J7</f>
        <v>44.43</v>
      </c>
      <c r="L7" s="13" t="n">
        <f aca="false">K7/B7</f>
        <v>0.448787878787879</v>
      </c>
      <c r="M7" s="24" t="s">
        <v>82</v>
      </c>
    </row>
    <row r="8" customFormat="false" ht="32.8" hidden="false" customHeight="false" outlineLevel="0" collapsed="false">
      <c r="A8" s="20" t="s">
        <v>83</v>
      </c>
      <c r="B8" s="6" t="n">
        <v>99</v>
      </c>
      <c r="C8" s="21" t="s">
        <v>65</v>
      </c>
      <c r="D8" s="22" t="n">
        <v>1</v>
      </c>
      <c r="E8" s="13" t="n">
        <f aca="false">1</f>
        <v>1</v>
      </c>
      <c r="F8" s="22" t="n">
        <v>60</v>
      </c>
      <c r="G8" s="13" t="n">
        <f aca="false">Inputs!$B$13</f>
        <v>0.89</v>
      </c>
      <c r="H8" s="15" t="n">
        <f aca="false">F8*(1-G8)*Inputs!$B$5+Inputs!$B$6+Inputs!$B$10</f>
        <v>21.5</v>
      </c>
      <c r="I8" s="15" t="n">
        <f aca="false">H8*D8*E8</f>
        <v>21.5</v>
      </c>
      <c r="J8" s="15" t="n">
        <f aca="false">B8*Inputs!$B$7</f>
        <v>2.97</v>
      </c>
      <c r="K8" s="15" t="n">
        <f aca="false">B8-I8-J8</f>
        <v>74.53</v>
      </c>
      <c r="L8" s="13" t="n">
        <f aca="false">K8/B8</f>
        <v>0.752828282828283</v>
      </c>
      <c r="M8" s="24" t="s">
        <v>84</v>
      </c>
    </row>
    <row r="9" customFormat="false" ht="32.8" hidden="false" customHeight="false" outlineLevel="0" collapsed="false">
      <c r="A9" s="20" t="s">
        <v>85</v>
      </c>
      <c r="B9" s="6" t="n">
        <v>39</v>
      </c>
      <c r="C9" s="21" t="s">
        <v>67</v>
      </c>
      <c r="D9" s="22" t="n">
        <v>2</v>
      </c>
      <c r="E9" s="13" t="n">
        <f aca="false">Inputs!$B$14</f>
        <v>0.6</v>
      </c>
      <c r="F9" s="22" t="n">
        <v>60</v>
      </c>
      <c r="G9" s="13" t="n">
        <f aca="false">Inputs!$B$13</f>
        <v>0.89</v>
      </c>
      <c r="H9" s="15" t="n">
        <f aca="false">F9*(1-G9)*Inputs!$B$5+Inputs!$B$6+Inputs!$B$10</f>
        <v>21.5</v>
      </c>
      <c r="I9" s="15" t="n">
        <f aca="false">H9*D9*E9</f>
        <v>25.8</v>
      </c>
      <c r="J9" s="15" t="n">
        <f aca="false">B9*Inputs!$B$7</f>
        <v>1.17</v>
      </c>
      <c r="K9" s="15" t="n">
        <f aca="false">B9-I9-J9</f>
        <v>12.03</v>
      </c>
      <c r="L9" s="13" t="n">
        <f aca="false">K9/B9</f>
        <v>0.308461538461538</v>
      </c>
      <c r="M9" s="24" t="s">
        <v>86</v>
      </c>
    </row>
  </sheetData>
  <conditionalFormatting sqref="L5:L9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2026-06-08T13:32:42Z</dcterms:created>
  <dc:creator>openpyxl</dc:creator>
  <dc:description/>
  <dc:language>en-US</dc:language>
  <cp:lastModifiedBy/>
  <dcterms:modified xsi:type="dcterms:W3CDTF">2026-06-08T13:32:42Z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