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 + Tiers" sheetId="1" state="visible" r:id="rId3"/>
    <sheet name="Case Log" sheetId="2" state="visible" r:id="rId4"/>
    <sheet name="Graduation 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<sst xmlns="http://schemas.openxmlformats.org/spreadsheetml/2006/main" count="81" uniqueCount="69">
  <si>
    <t xml:space="preserve">Klaravex Personal — Trust &amp; Graduation Framework</t>
  </si>
  <si>
    <t xml:space="preserve">PURPOSE</t>
  </si>
  <si>
    <t xml:space="preserve">Track every supervised case so AI task-categories can graduate to autonomy on evidence, not gut feel. Prevents Phase 1 (you on every ticket) from becoming permanent.</t>
  </si>
  <si>
    <t xml:space="preserve">DAILY</t>
  </si>
  <si>
    <t xml:space="preserve">Log each case in 'Case Log'. Fill Category, Tier, Handled By, Outcome, and the three Y/N flags. 30 seconds per case.</t>
  </si>
  <si>
    <t xml:space="preserve">WEEKLY</t>
  </si>
  <si>
    <t xml:space="preserve">Open 'Graduation Dashboard'. Look for categories nearing 30 cases and check accuracy + harm. Graduate eligible Green categories; review HOLDs.</t>
  </si>
  <si>
    <t xml:space="preserve">GRADUATION GATE</t>
  </si>
  <si>
    <t xml:space="preserve">All must be true to graduate a category:</t>
  </si>
  <si>
    <t xml:space="preserve">  Volume</t>
  </si>
  <si>
    <t xml:space="preserve">≥ 30 supervised cases logged in that category</t>
  </si>
  <si>
    <t xml:space="preserve">  Accuracy</t>
  </si>
  <si>
    <t xml:space="preserve">≥ 95% first-attempt-correct (First-Attempt Correct = Y)</t>
  </si>
  <si>
    <t xml:space="preserve">  Zero harm</t>
  </si>
  <si>
    <t xml:space="preserve">0 harm events (no data loss, security exposure, or rework-causing damage)</t>
  </si>
  <si>
    <t xml:space="preserve">  Escalation works</t>
  </si>
  <si>
    <t xml:space="preserve">Agent reliably hands off its own edge cases (judge from the log)</t>
  </si>
  <si>
    <t xml:space="preserve">TIERS</t>
  </si>
  <si>
    <t xml:space="preserve">  Green</t>
  </si>
  <si>
    <t xml:space="preserve">Graduate first. Reversible, low-stakes: password resets, Wi-Fi, app reinstall, printer, usage questions. → full autonomy once gate met.</t>
  </si>
  <si>
    <t xml:space="preserve">  Yellow</t>
  </si>
  <si>
    <t xml:space="preserve">Graduate late, with guardrails: email/account setup, software config, privacy settings, smart-home. → agent drafts, human approves before it reaches the customer.</t>
  </si>
  <si>
    <t xml:space="preserve">  Red</t>
  </si>
  <si>
    <t xml:space="preserve">NEVER fully autonomous: data recovery, security incidents, backups, payments/identity, vulnerable customers. Human-in-loop permanently, regardless of track record.</t>
  </si>
  <si>
    <t xml:space="preserve">REVOCABLE</t>
  </si>
  <si>
    <t xml:space="preserve">Any graduated category that produces a harm event drops back to supervised immediately. Trust is revocable.</t>
  </si>
  <si>
    <t xml:space="preserve">DISCLOSURE LINK</t>
  </si>
  <si>
    <t xml:space="preserve">The moment ANY category goes autonomous, the website must switch to Phase-2 AI-delivery disclosure — even if most work is still supervised. See personal-AI-disclosure-DRAFT.md.</t>
  </si>
  <si>
    <t xml:space="preserve">THRESHOLDS</t>
  </si>
  <si>
    <t xml:space="preserve">30 / 95% / 0-harm are starting points. Tighten for higher-risk categories; never loosen below these for anything customer-facing.</t>
  </si>
  <si>
    <t xml:space="preserve">Klaravex Personal — Case Log</t>
  </si>
  <si>
    <t xml:space="preserve">Log EVERY supervised case from day one. This is the data the Graduation Dashboard runs on — no log, no graduation.</t>
  </si>
  <si>
    <t xml:space="preserve">Case ID</t>
  </si>
  <si>
    <t xml:space="preserve">Date</t>
  </si>
  <si>
    <t xml:space="preserve">Customer</t>
  </si>
  <si>
    <t xml:space="preserve">Category</t>
  </si>
  <si>
    <t xml:space="preserve">Tier</t>
  </si>
  <si>
    <t xml:space="preserve">Issue Summary</t>
  </si>
  <si>
    <t xml:space="preserve">Handled By</t>
  </si>
  <si>
    <t xml:space="preserve">Outcome</t>
  </si>
  <si>
    <t xml:space="preserve">First-Attempt Correct? (Y/N)</t>
  </si>
  <si>
    <t xml:space="preserve">Harm Event? (Y/N)</t>
  </si>
  <si>
    <t xml:space="preserve">Escalated? (Y/N)</t>
  </si>
  <si>
    <t xml:space="preserve">Notes</t>
  </si>
  <si>
    <t xml:space="preserve">Graduation Dashboard — Supervised → Autonomous</t>
  </si>
  <si>
    <t xml:space="preserve">Auto-calculated from Case Log. A category graduates only when Volume≥30, Accuracy≥95%, and Harm=0 — Red tier never graduates.</t>
  </si>
  <si>
    <t xml:space="preserve">Cases Logged</t>
  </si>
  <si>
    <t xml:space="preserve">First-Attempt OK</t>
  </si>
  <si>
    <t xml:space="preserve">Accuracy %</t>
  </si>
  <si>
    <t xml:space="preserve">Harm Events</t>
  </si>
  <si>
    <t xml:space="preserve">Escalations</t>
  </si>
  <si>
    <t xml:space="preserve">Graduation Status</t>
  </si>
  <si>
    <t xml:space="preserve">Password reset</t>
  </si>
  <si>
    <t xml:space="preserve">Green</t>
  </si>
  <si>
    <t xml:space="preserve">Wi-Fi / connectivity reconnect</t>
  </si>
  <si>
    <t xml:space="preserve">App reinstall / update</t>
  </si>
  <si>
    <t xml:space="preserve">Printer / driver fix</t>
  </si>
  <si>
    <t xml:space="preserve">"How do I" / usage question</t>
  </si>
  <si>
    <t xml:space="preserve">Email / account setup</t>
  </si>
  <si>
    <t xml:space="preserve">Yellow</t>
  </si>
  <si>
    <t xml:space="preserve">Software configuration</t>
  </si>
  <si>
    <t xml:space="preserve">Privacy / security settings</t>
  </si>
  <si>
    <t xml:space="preserve">Smart-home device setup</t>
  </si>
  <si>
    <t xml:space="preserve">Data recovery</t>
  </si>
  <si>
    <t xml:space="preserve">Red</t>
  </si>
  <si>
    <t xml:space="preserve">Security incident / malware</t>
  </si>
  <si>
    <t xml:space="preserve">Backup / restore</t>
  </si>
  <si>
    <t xml:space="preserve">Payment / identity change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</si>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</sst>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2E5496"/>
        <bgColor rgb="FF1F3864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5"/>
  </cols>
  <sheetData>
    <row r="1" customFormat="false" ht="79.8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23.85" hidden="false" customHeight="false" outlineLevel="0" collapsed="false">
      <c r="A3" s="3" t="s">
        <v>1</v>
      </c>
      <c r="B3" s="2" t="s">
        <v>2</v>
      </c>
    </row>
    <row r="4" customFormat="false" ht="15" hidden="false" customHeight="false" outlineLevel="0" collapsed="false">
      <c r="A4" s="2"/>
      <c r="B4" s="2"/>
    </row>
    <row r="5" customFormat="false" ht="23.85" hidden="false" customHeight="false" outlineLevel="0" collapsed="false">
      <c r="A5" s="3" t="s">
        <v>3</v>
      </c>
      <c r="B5" s="2" t="s">
        <v>4</v>
      </c>
    </row>
    <row r="6" customFormat="false" ht="23.85" hidden="false" customHeight="false" outlineLevel="0" collapsed="false">
      <c r="A6" s="3" t="s">
        <v>5</v>
      </c>
      <c r="B6" s="2" t="s">
        <v>6</v>
      </c>
    </row>
    <row r="7" customFormat="false" ht="15" hidden="false" customHeight="false" outlineLevel="0" collapsed="false">
      <c r="A7" s="2"/>
      <c r="B7" s="2"/>
    </row>
    <row r="8" customFormat="false" ht="15" hidden="false" customHeight="false" outlineLevel="0" collapsed="false">
      <c r="A8" s="3" t="s">
        <v>7</v>
      </c>
      <c r="B8" s="2" t="s">
        <v>8</v>
      </c>
    </row>
    <row r="9" customFormat="false" ht="15" hidden="false" customHeight="false" outlineLevel="0" collapsed="false">
      <c r="A9" s="3" t="s">
        <v>9</v>
      </c>
      <c r="B9" s="2" t="s">
        <v>10</v>
      </c>
    </row>
    <row r="10" customFormat="false" ht="15" hidden="false" customHeight="false" outlineLevel="0" collapsed="false">
      <c r="A10" s="3" t="s">
        <v>11</v>
      </c>
      <c r="B10" s="2" t="s">
        <v>12</v>
      </c>
    </row>
    <row r="11" customFormat="false" ht="15" hidden="false" customHeight="false" outlineLevel="0" collapsed="false">
      <c r="A11" s="3" t="s">
        <v>13</v>
      </c>
      <c r="B11" s="2" t="s">
        <v>14</v>
      </c>
    </row>
    <row r="12" customFormat="false" ht="15" hidden="false" customHeight="false" outlineLevel="0" collapsed="false">
      <c r="A12" s="3" t="s">
        <v>15</v>
      </c>
      <c r="B12" s="2" t="s">
        <v>16</v>
      </c>
    </row>
    <row r="13" customFormat="false" ht="15" hidden="false" customHeight="false" outlineLevel="0" collapsed="false">
      <c r="A13" s="2"/>
      <c r="B13" s="2"/>
    </row>
    <row r="14" customFormat="false" ht="15" hidden="false" customHeight="false" outlineLevel="0" collapsed="false">
      <c r="A14" s="3" t="s">
        <v>17</v>
      </c>
      <c r="B14" s="2"/>
    </row>
    <row r="15" customFormat="false" ht="23.85" hidden="false" customHeight="false" outlineLevel="0" collapsed="false">
      <c r="A15" s="3" t="s">
        <v>18</v>
      </c>
      <c r="B15" s="2" t="s">
        <v>19</v>
      </c>
    </row>
    <row r="16" customFormat="false" ht="23.85" hidden="false" customHeight="false" outlineLevel="0" collapsed="false">
      <c r="A16" s="3" t="s">
        <v>20</v>
      </c>
      <c r="B16" s="2" t="s">
        <v>21</v>
      </c>
    </row>
    <row r="17" customFormat="false" ht="23.85" hidden="false" customHeight="false" outlineLevel="0" collapsed="false">
      <c r="A17" s="3" t="s">
        <v>22</v>
      </c>
      <c r="B17" s="2" t="s">
        <v>23</v>
      </c>
    </row>
    <row r="18" customFormat="false" ht="15" hidden="false" customHeight="false" outlineLevel="0" collapsed="false">
      <c r="A18" s="2"/>
      <c r="B18" s="2"/>
    </row>
    <row r="19" customFormat="false" ht="23.85" hidden="false" customHeight="false" outlineLevel="0" collapsed="false">
      <c r="A19" s="3" t="s">
        <v>24</v>
      </c>
      <c r="B19" s="2" t="s">
        <v>25</v>
      </c>
    </row>
    <row r="20" customFormat="false" ht="23.85" hidden="false" customHeight="false" outlineLevel="0" collapsed="false">
      <c r="A20" s="3" t="s">
        <v>26</v>
      </c>
      <c r="B20" s="2" t="s">
        <v>27</v>
      </c>
    </row>
    <row r="21" customFormat="false" ht="15" hidden="false" customHeight="false" outlineLevel="0" collapsed="false">
      <c r="A21" s="2"/>
      <c r="B21" s="2"/>
    </row>
    <row r="22" customFormat="false" ht="23.85" hidden="false" customHeight="false" outlineLevel="0" collapsed="false">
      <c r="A22" s="4" t="s">
        <v>28</v>
      </c>
      <c r="B22" s="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7" min="7" style="0" width="18"/>
    <col collapsed="false" customWidth="true" hidden="false" outlineLevel="0" max="9" min="8" style="0" width="14"/>
    <col collapsed="false" customWidth="true" hidden="false" outlineLevel="0" max="11" min="10" style="0" width="13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5" t="s">
        <v>30</v>
      </c>
    </row>
    <row r="2" customFormat="false" ht="15" hidden="false" customHeight="false" outlineLevel="0" collapsed="false">
      <c r="A2" s="6" t="s">
        <v>31</v>
      </c>
    </row>
    <row r="4" customFormat="false" ht="39.55" hidden="false" customHeight="false" outlineLevel="0" collapsed="false">
      <c r="A4" s="7" t="s">
        <v>32</v>
      </c>
      <c r="B4" s="7" t="s">
        <v>33</v>
      </c>
      <c r="C4" s="7" t="s">
        <v>34</v>
      </c>
      <c r="D4" s="7" t="s">
        <v>35</v>
      </c>
      <c r="E4" s="7" t="s">
        <v>36</v>
      </c>
      <c r="F4" s="7" t="s">
        <v>37</v>
      </c>
      <c r="G4" s="7" t="s">
        <v>38</v>
      </c>
      <c r="H4" s="7" t="s">
        <v>39</v>
      </c>
      <c r="I4" s="7" t="s">
        <v>40</v>
      </c>
      <c r="J4" s="7" t="s">
        <v>41</v>
      </c>
      <c r="K4" s="7" t="s">
        <v>42</v>
      </c>
      <c r="L4" s="7" t="s">
        <v>43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9"/>
      <c r="G5" s="8"/>
      <c r="H5" s="8"/>
      <c r="I5" s="8"/>
      <c r="J5" s="8"/>
      <c r="K5" s="8"/>
      <c r="L5" s="9"/>
    </row>
    <row r="6" customFormat="false" ht="15" hidden="false" customHeight="false" outlineLevel="0" collapsed="false">
      <c r="A6" s="10"/>
      <c r="B6" s="10"/>
      <c r="C6" s="10"/>
      <c r="D6" s="10"/>
      <c r="E6" s="10"/>
      <c r="F6" s="11"/>
      <c r="G6" s="10"/>
      <c r="H6" s="10"/>
      <c r="I6" s="10"/>
      <c r="J6" s="10"/>
      <c r="K6" s="10"/>
      <c r="L6" s="11"/>
    </row>
    <row r="7" customFormat="false" ht="15" hidden="false" customHeight="false" outlineLevel="0" collapsed="false">
      <c r="A7" s="8"/>
      <c r="B7" s="8"/>
      <c r="C7" s="8"/>
      <c r="D7" s="8"/>
      <c r="E7" s="8"/>
      <c r="F7" s="9"/>
      <c r="G7" s="8"/>
      <c r="H7" s="8"/>
      <c r="I7" s="8"/>
      <c r="J7" s="8"/>
      <c r="K7" s="8"/>
      <c r="L7" s="9"/>
    </row>
    <row r="8" customFormat="false" ht="15" hidden="false" customHeight="false" outlineLevel="0" collapsed="false">
      <c r="A8" s="10"/>
      <c r="B8" s="10"/>
      <c r="C8" s="10"/>
      <c r="D8" s="10"/>
      <c r="E8" s="10"/>
      <c r="F8" s="11"/>
      <c r="G8" s="10"/>
      <c r="H8" s="10"/>
      <c r="I8" s="10"/>
      <c r="J8" s="10"/>
      <c r="K8" s="10"/>
      <c r="L8" s="11"/>
    </row>
    <row r="9" customFormat="false" ht="15" hidden="false" customHeight="false" outlineLevel="0" collapsed="false">
      <c r="A9" s="8"/>
      <c r="B9" s="8"/>
      <c r="C9" s="8"/>
      <c r="D9" s="8"/>
      <c r="E9" s="8"/>
      <c r="F9" s="9"/>
      <c r="G9" s="8"/>
      <c r="H9" s="8"/>
      <c r="I9" s="8"/>
      <c r="J9" s="8"/>
      <c r="K9" s="8"/>
      <c r="L9" s="9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1"/>
      <c r="G10" s="10"/>
      <c r="H10" s="10"/>
      <c r="I10" s="10"/>
      <c r="J10" s="10"/>
      <c r="K10" s="10"/>
      <c r="L10" s="11"/>
    </row>
    <row r="11" customFormat="false" ht="15" hidden="false" customHeight="false" outlineLevel="0" collapsed="false">
      <c r="A11" s="8"/>
      <c r="B11" s="8"/>
      <c r="C11" s="8"/>
      <c r="D11" s="8"/>
      <c r="E11" s="8"/>
      <c r="F11" s="9"/>
      <c r="G11" s="8"/>
      <c r="H11" s="8"/>
      <c r="I11" s="8"/>
      <c r="J11" s="8"/>
      <c r="K11" s="8"/>
      <c r="L11" s="9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1"/>
      <c r="G12" s="10"/>
      <c r="H12" s="10"/>
      <c r="I12" s="10"/>
      <c r="J12" s="10"/>
      <c r="K12" s="10"/>
      <c r="L12" s="11"/>
    </row>
    <row r="13" customFormat="false" ht="15" hidden="false" customHeight="false" outlineLevel="0" collapsed="false">
      <c r="A13" s="8"/>
      <c r="B13" s="8"/>
      <c r="C13" s="8"/>
      <c r="D13" s="8"/>
      <c r="E13" s="8"/>
      <c r="F13" s="9"/>
      <c r="G13" s="8"/>
      <c r="H13" s="8"/>
      <c r="I13" s="8"/>
      <c r="J13" s="8"/>
      <c r="K13" s="8"/>
      <c r="L13" s="9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1"/>
      <c r="G14" s="10"/>
      <c r="H14" s="10"/>
      <c r="I14" s="10"/>
      <c r="J14" s="10"/>
      <c r="K14" s="10"/>
      <c r="L14" s="11"/>
    </row>
    <row r="15" customFormat="false" ht="15" hidden="false" customHeight="false" outlineLevel="0" collapsed="false">
      <c r="A15" s="8"/>
      <c r="B15" s="8"/>
      <c r="C15" s="8"/>
      <c r="D15" s="8"/>
      <c r="E15" s="8"/>
      <c r="F15" s="9"/>
      <c r="G15" s="8"/>
      <c r="H15" s="8"/>
      <c r="I15" s="8"/>
      <c r="J15" s="8"/>
      <c r="K15" s="8"/>
      <c r="L15" s="9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1"/>
      <c r="G16" s="10"/>
      <c r="H16" s="10"/>
      <c r="I16" s="10"/>
      <c r="J16" s="10"/>
      <c r="K16" s="10"/>
      <c r="L16" s="11"/>
    </row>
    <row r="17" customFormat="false" ht="15" hidden="false" customHeight="false" outlineLevel="0" collapsed="false">
      <c r="A17" s="8"/>
      <c r="B17" s="8"/>
      <c r="C17" s="8"/>
      <c r="D17" s="8"/>
      <c r="E17" s="8"/>
      <c r="F17" s="9"/>
      <c r="G17" s="8"/>
      <c r="H17" s="8"/>
      <c r="I17" s="8"/>
      <c r="J17" s="8"/>
      <c r="K17" s="8"/>
      <c r="L17" s="9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1"/>
      <c r="G18" s="10"/>
      <c r="H18" s="10"/>
      <c r="I18" s="10"/>
      <c r="J18" s="10"/>
      <c r="K18" s="10"/>
      <c r="L18" s="11"/>
    </row>
    <row r="19" customFormat="false" ht="15" hidden="false" customHeight="false" outlineLevel="0" collapsed="false">
      <c r="A19" s="8"/>
      <c r="B19" s="8"/>
      <c r="C19" s="8"/>
      <c r="D19" s="8"/>
      <c r="E19" s="8"/>
      <c r="F19" s="9"/>
      <c r="G19" s="8"/>
      <c r="H19" s="8"/>
      <c r="I19" s="8"/>
      <c r="J19" s="8"/>
      <c r="K19" s="8"/>
      <c r="L19" s="9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1"/>
      <c r="G20" s="10"/>
      <c r="H20" s="10"/>
      <c r="I20" s="10"/>
      <c r="J20" s="10"/>
      <c r="K20" s="10"/>
      <c r="L20" s="11"/>
    </row>
    <row r="21" customFormat="false" ht="15" hidden="false" customHeight="false" outlineLevel="0" collapsed="false">
      <c r="A21" s="8"/>
      <c r="B21" s="8"/>
      <c r="C21" s="8"/>
      <c r="D21" s="8"/>
      <c r="E21" s="8"/>
      <c r="F21" s="9"/>
      <c r="G21" s="8"/>
      <c r="H21" s="8"/>
      <c r="I21" s="8"/>
      <c r="J21" s="8"/>
      <c r="K21" s="8"/>
      <c r="L21" s="9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1"/>
      <c r="G22" s="10"/>
      <c r="H22" s="10"/>
      <c r="I22" s="10"/>
      <c r="J22" s="10"/>
      <c r="K22" s="10"/>
      <c r="L22" s="11"/>
    </row>
    <row r="23" customFormat="false" ht="15" hidden="false" customHeight="false" outlineLevel="0" collapsed="false">
      <c r="A23" s="8"/>
      <c r="B23" s="8"/>
      <c r="C23" s="8"/>
      <c r="D23" s="8"/>
      <c r="E23" s="8"/>
      <c r="F23" s="9"/>
      <c r="G23" s="8"/>
      <c r="H23" s="8"/>
      <c r="I23" s="8"/>
      <c r="J23" s="8"/>
      <c r="K23" s="8"/>
      <c r="L23" s="9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1"/>
      <c r="G24" s="10"/>
      <c r="H24" s="10"/>
      <c r="I24" s="10"/>
      <c r="J24" s="10"/>
      <c r="K24" s="10"/>
      <c r="L24" s="11"/>
    </row>
    <row r="25" customFormat="false" ht="15" hidden="false" customHeight="false" outlineLevel="0" collapsed="false">
      <c r="A25" s="8"/>
      <c r="B25" s="8"/>
      <c r="C25" s="8"/>
      <c r="D25" s="8"/>
      <c r="E25" s="8"/>
      <c r="F25" s="9"/>
      <c r="G25" s="8"/>
      <c r="H25" s="8"/>
      <c r="I25" s="8"/>
      <c r="J25" s="8"/>
      <c r="K25" s="8"/>
      <c r="L25" s="9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1"/>
      <c r="G26" s="10"/>
      <c r="H26" s="10"/>
      <c r="I26" s="10"/>
      <c r="J26" s="10"/>
      <c r="K26" s="10"/>
      <c r="L26" s="11"/>
    </row>
    <row r="27" customFormat="false" ht="15" hidden="false" customHeight="false" outlineLevel="0" collapsed="false">
      <c r="A27" s="8"/>
      <c r="B27" s="8"/>
      <c r="C27" s="8"/>
      <c r="D27" s="8"/>
      <c r="E27" s="8"/>
      <c r="F27" s="9"/>
      <c r="G27" s="8"/>
      <c r="H27" s="8"/>
      <c r="I27" s="8"/>
      <c r="J27" s="8"/>
      <c r="K27" s="8"/>
      <c r="L27" s="9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1"/>
      <c r="G28" s="10"/>
      <c r="H28" s="10"/>
      <c r="I28" s="10"/>
      <c r="J28" s="10"/>
      <c r="K28" s="10"/>
      <c r="L28" s="11"/>
    </row>
    <row r="29" customFormat="false" ht="15" hidden="false" customHeight="false" outlineLevel="0" collapsed="false">
      <c r="A29" s="8"/>
      <c r="B29" s="8"/>
      <c r="C29" s="8"/>
      <c r="D29" s="8"/>
      <c r="E29" s="8"/>
      <c r="F29" s="9"/>
      <c r="G29" s="8"/>
      <c r="H29" s="8"/>
      <c r="I29" s="8"/>
      <c r="J29" s="8"/>
      <c r="K29" s="8"/>
      <c r="L29" s="9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1"/>
      <c r="G30" s="10"/>
      <c r="H30" s="10"/>
      <c r="I30" s="10"/>
      <c r="J30" s="10"/>
      <c r="K30" s="10"/>
      <c r="L30" s="11"/>
    </row>
    <row r="31" customFormat="false" ht="15" hidden="false" customHeight="false" outlineLevel="0" collapsed="false">
      <c r="A31" s="8"/>
      <c r="B31" s="8"/>
      <c r="C31" s="8"/>
      <c r="D31" s="8"/>
      <c r="E31" s="8"/>
      <c r="F31" s="9"/>
      <c r="G31" s="8"/>
      <c r="H31" s="8"/>
      <c r="I31" s="8"/>
      <c r="J31" s="8"/>
      <c r="K31" s="8"/>
      <c r="L31" s="9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1"/>
      <c r="G32" s="10"/>
      <c r="H32" s="10"/>
      <c r="I32" s="10"/>
      <c r="J32" s="10"/>
      <c r="K32" s="10"/>
      <c r="L32" s="11"/>
    </row>
    <row r="33" customFormat="false" ht="15" hidden="false" customHeight="false" outlineLevel="0" collapsed="false">
      <c r="A33" s="8"/>
      <c r="B33" s="8"/>
      <c r="C33" s="8"/>
      <c r="D33" s="8"/>
      <c r="E33" s="8"/>
      <c r="F33" s="9"/>
      <c r="G33" s="8"/>
      <c r="H33" s="8"/>
      <c r="I33" s="8"/>
      <c r="J33" s="8"/>
      <c r="K33" s="8"/>
      <c r="L33" s="9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1"/>
      <c r="G34" s="10"/>
      <c r="H34" s="10"/>
      <c r="I34" s="10"/>
      <c r="J34" s="10"/>
      <c r="K34" s="10"/>
      <c r="L34" s="11"/>
    </row>
    <row r="35" customFormat="false" ht="15" hidden="false" customHeight="false" outlineLevel="0" collapsed="false">
      <c r="A35" s="8"/>
      <c r="B35" s="8"/>
      <c r="C35" s="8"/>
      <c r="D35" s="8"/>
      <c r="E35" s="8"/>
      <c r="F35" s="9"/>
      <c r="G35" s="8"/>
      <c r="H35" s="8"/>
      <c r="I35" s="8"/>
      <c r="J35" s="8"/>
      <c r="K35" s="8"/>
      <c r="L35" s="9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1"/>
      <c r="G36" s="10"/>
      <c r="H36" s="10"/>
      <c r="I36" s="10"/>
      <c r="J36" s="10"/>
      <c r="K36" s="10"/>
      <c r="L36" s="11"/>
    </row>
    <row r="37" customFormat="false" ht="15" hidden="false" customHeight="false" outlineLevel="0" collapsed="false">
      <c r="A37" s="8"/>
      <c r="B37" s="8"/>
      <c r="C37" s="8"/>
      <c r="D37" s="8"/>
      <c r="E37" s="8"/>
      <c r="F37" s="9"/>
      <c r="G37" s="8"/>
      <c r="H37" s="8"/>
      <c r="I37" s="8"/>
      <c r="J37" s="8"/>
      <c r="K37" s="8"/>
      <c r="L37" s="9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1"/>
      <c r="G38" s="10"/>
      <c r="H38" s="10"/>
      <c r="I38" s="10"/>
      <c r="J38" s="10"/>
      <c r="K38" s="10"/>
      <c r="L38" s="11"/>
    </row>
    <row r="39" customFormat="false" ht="15" hidden="false" customHeight="false" outlineLevel="0" collapsed="false">
      <c r="A39" s="8"/>
      <c r="B39" s="8"/>
      <c r="C39" s="8"/>
      <c r="D39" s="8"/>
      <c r="E39" s="8"/>
      <c r="F39" s="9"/>
      <c r="G39" s="8"/>
      <c r="H39" s="8"/>
      <c r="I39" s="8"/>
      <c r="J39" s="8"/>
      <c r="K39" s="8"/>
      <c r="L39" s="9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1"/>
      <c r="G40" s="10"/>
      <c r="H40" s="10"/>
      <c r="I40" s="10"/>
      <c r="J40" s="10"/>
      <c r="K40" s="10"/>
      <c r="L40" s="11"/>
    </row>
    <row r="41" customFormat="false" ht="15" hidden="false" customHeight="false" outlineLevel="0" collapsed="false">
      <c r="A41" s="8"/>
      <c r="B41" s="8"/>
      <c r="C41" s="8"/>
      <c r="D41" s="8"/>
      <c r="E41" s="8"/>
      <c r="F41" s="9"/>
      <c r="G41" s="8"/>
      <c r="H41" s="8"/>
      <c r="I41" s="8"/>
      <c r="J41" s="8"/>
      <c r="K41" s="8"/>
      <c r="L41" s="9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1"/>
      <c r="G42" s="10"/>
      <c r="H42" s="10"/>
      <c r="I42" s="10"/>
      <c r="J42" s="10"/>
      <c r="K42" s="10"/>
      <c r="L42" s="11"/>
    </row>
    <row r="43" customFormat="false" ht="15" hidden="false" customHeight="false" outlineLevel="0" collapsed="false">
      <c r="A43" s="8"/>
      <c r="B43" s="8"/>
      <c r="C43" s="8"/>
      <c r="D43" s="8"/>
      <c r="E43" s="8"/>
      <c r="F43" s="9"/>
      <c r="G43" s="8"/>
      <c r="H43" s="8"/>
      <c r="I43" s="8"/>
      <c r="J43" s="8"/>
      <c r="K43" s="8"/>
      <c r="L43" s="9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1"/>
      <c r="G44" s="10"/>
      <c r="H44" s="10"/>
      <c r="I44" s="10"/>
      <c r="J44" s="10"/>
      <c r="K44" s="10"/>
      <c r="L44" s="11"/>
    </row>
    <row r="45" customFormat="false" ht="15" hidden="false" customHeight="false" outlineLevel="0" collapsed="false">
      <c r="A45" s="8"/>
      <c r="B45" s="8"/>
      <c r="C45" s="8"/>
      <c r="D45" s="8"/>
      <c r="E45" s="8"/>
      <c r="F45" s="9"/>
      <c r="G45" s="8"/>
      <c r="H45" s="8"/>
      <c r="I45" s="8"/>
      <c r="J45" s="8"/>
      <c r="K45" s="8"/>
      <c r="L45" s="9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1"/>
      <c r="G46" s="10"/>
      <c r="H46" s="10"/>
      <c r="I46" s="10"/>
      <c r="J46" s="10"/>
      <c r="K46" s="10"/>
      <c r="L46" s="11"/>
    </row>
    <row r="47" customFormat="false" ht="15" hidden="false" customHeight="false" outlineLevel="0" collapsed="false">
      <c r="A47" s="8"/>
      <c r="B47" s="8"/>
      <c r="C47" s="8"/>
      <c r="D47" s="8"/>
      <c r="E47" s="8"/>
      <c r="F47" s="9"/>
      <c r="G47" s="8"/>
      <c r="H47" s="8"/>
      <c r="I47" s="8"/>
      <c r="J47" s="8"/>
      <c r="K47" s="8"/>
      <c r="L47" s="9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1"/>
      <c r="G48" s="10"/>
      <c r="H48" s="10"/>
      <c r="I48" s="10"/>
      <c r="J48" s="10"/>
      <c r="K48" s="10"/>
      <c r="L48" s="11"/>
    </row>
    <row r="49" customFormat="false" ht="15" hidden="false" customHeight="false" outlineLevel="0" collapsed="false">
      <c r="A49" s="8"/>
      <c r="B49" s="8"/>
      <c r="C49" s="8"/>
      <c r="D49" s="8"/>
      <c r="E49" s="8"/>
      <c r="F49" s="9"/>
      <c r="G49" s="8"/>
      <c r="H49" s="8"/>
      <c r="I49" s="8"/>
      <c r="J49" s="8"/>
      <c r="K49" s="8"/>
      <c r="L49" s="9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1"/>
      <c r="G50" s="10"/>
      <c r="H50" s="10"/>
      <c r="I50" s="10"/>
      <c r="J50" s="10"/>
      <c r="K50" s="10"/>
      <c r="L50" s="11"/>
    </row>
    <row r="51" customFormat="false" ht="15" hidden="false" customHeight="false" outlineLevel="0" collapsed="false">
      <c r="A51" s="8"/>
      <c r="B51" s="8"/>
      <c r="C51" s="8"/>
      <c r="D51" s="8"/>
      <c r="E51" s="8"/>
      <c r="F51" s="9"/>
      <c r="G51" s="8"/>
      <c r="H51" s="8"/>
      <c r="I51" s="8"/>
      <c r="J51" s="8"/>
      <c r="K51" s="8"/>
      <c r="L51" s="9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1"/>
      <c r="G52" s="10"/>
      <c r="H52" s="10"/>
      <c r="I52" s="10"/>
      <c r="J52" s="10"/>
      <c r="K52" s="10"/>
      <c r="L52" s="11"/>
    </row>
    <row r="53" customFormat="false" ht="15" hidden="false" customHeight="false" outlineLevel="0" collapsed="false">
      <c r="A53" s="8"/>
      <c r="B53" s="8"/>
      <c r="C53" s="8"/>
      <c r="D53" s="8"/>
      <c r="E53" s="8"/>
      <c r="F53" s="9"/>
      <c r="G53" s="8"/>
      <c r="H53" s="8"/>
      <c r="I53" s="8"/>
      <c r="J53" s="8"/>
      <c r="K53" s="8"/>
      <c r="L53" s="9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1"/>
      <c r="G54" s="10"/>
      <c r="H54" s="10"/>
      <c r="I54" s="10"/>
      <c r="J54" s="10"/>
      <c r="K54" s="10"/>
      <c r="L54" s="11"/>
    </row>
    <row r="55" customFormat="false" ht="15" hidden="false" customHeight="false" outlineLevel="0" collapsed="false">
      <c r="A55" s="8"/>
      <c r="B55" s="8"/>
      <c r="C55" s="8"/>
      <c r="D55" s="8"/>
      <c r="E55" s="8"/>
      <c r="F55" s="9"/>
      <c r="G55" s="8"/>
      <c r="H55" s="8"/>
      <c r="I55" s="8"/>
      <c r="J55" s="8"/>
      <c r="K55" s="8"/>
      <c r="L55" s="9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1"/>
      <c r="G56" s="10"/>
      <c r="H56" s="10"/>
      <c r="I56" s="10"/>
      <c r="J56" s="10"/>
      <c r="K56" s="10"/>
      <c r="L56" s="11"/>
    </row>
    <row r="57" customFormat="false" ht="15" hidden="false" customHeight="false" outlineLevel="0" collapsed="false">
      <c r="A57" s="8"/>
      <c r="B57" s="8"/>
      <c r="C57" s="8"/>
      <c r="D57" s="8"/>
      <c r="E57" s="8"/>
      <c r="F57" s="9"/>
      <c r="G57" s="8"/>
      <c r="H57" s="8"/>
      <c r="I57" s="8"/>
      <c r="J57" s="8"/>
      <c r="K57" s="8"/>
      <c r="L57" s="9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1"/>
      <c r="G58" s="10"/>
      <c r="H58" s="10"/>
      <c r="I58" s="10"/>
      <c r="J58" s="10"/>
      <c r="K58" s="10"/>
      <c r="L58" s="11"/>
    </row>
    <row r="59" customFormat="false" ht="15" hidden="false" customHeight="false" outlineLevel="0" collapsed="false">
      <c r="A59" s="8"/>
      <c r="B59" s="8"/>
      <c r="C59" s="8"/>
      <c r="D59" s="8"/>
      <c r="E59" s="8"/>
      <c r="F59" s="9"/>
      <c r="G59" s="8"/>
      <c r="H59" s="8"/>
      <c r="I59" s="8"/>
      <c r="J59" s="8"/>
      <c r="K59" s="8"/>
      <c r="L59" s="9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1"/>
      <c r="G60" s="10"/>
      <c r="H60" s="10"/>
      <c r="I60" s="10"/>
      <c r="J60" s="10"/>
      <c r="K60" s="10"/>
      <c r="L60" s="11"/>
    </row>
    <row r="61" customFormat="false" ht="15" hidden="false" customHeight="false" outlineLevel="0" collapsed="false">
      <c r="A61" s="8"/>
      <c r="B61" s="8"/>
      <c r="C61" s="8"/>
      <c r="D61" s="8"/>
      <c r="E61" s="8"/>
      <c r="F61" s="9"/>
      <c r="G61" s="8"/>
      <c r="H61" s="8"/>
      <c r="I61" s="8"/>
      <c r="J61" s="8"/>
      <c r="K61" s="8"/>
      <c r="L61" s="9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1"/>
      <c r="G62" s="10"/>
      <c r="H62" s="10"/>
      <c r="I62" s="10"/>
      <c r="J62" s="10"/>
      <c r="K62" s="10"/>
      <c r="L62" s="11"/>
    </row>
    <row r="63" customFormat="false" ht="15" hidden="false" customHeight="false" outlineLevel="0" collapsed="false">
      <c r="A63" s="8"/>
      <c r="B63" s="8"/>
      <c r="C63" s="8"/>
      <c r="D63" s="8"/>
      <c r="E63" s="8"/>
      <c r="F63" s="9"/>
      <c r="G63" s="8"/>
      <c r="H63" s="8"/>
      <c r="I63" s="8"/>
      <c r="J63" s="8"/>
      <c r="K63" s="8"/>
      <c r="L63" s="9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1"/>
      <c r="G64" s="10"/>
      <c r="H64" s="10"/>
      <c r="I64" s="10"/>
      <c r="J64" s="10"/>
      <c r="K64" s="10"/>
      <c r="L64" s="11"/>
    </row>
  </sheetData>
  <dataValidations count="6">
    <dataValidation allowBlank="true" errorStyle="stop" operator="between" showDropDown="false" showErrorMessage="false" showInputMessage="false" sqref="E5:E64" type="list">
      <formula1>"Green,Yellow,Red"</formula1>
      <formula2>0</formula2>
    </dataValidation>
    <dataValidation allowBlank="true" errorStyle="stop" operator="between" showDropDown="false" showErrorMessage="false" showInputMessage="false" sqref="G5:G64" type="list">
      <formula1>"You,Agent (supervised),Agent (autonomous)"</formula1>
      <formula2>0</formula2>
    </dataValidation>
    <dataValidation allowBlank="true" errorStyle="stop" operator="between" showDropDown="false" showErrorMessage="false" showInputMessage="false" sqref="H5:H64" type="list">
      <formula1>"Resolved,Rework needed,Escalated"</formula1>
      <formula2>0</formula2>
    </dataValidation>
    <dataValidation allowBlank="true" errorStyle="stop" operator="between" showDropDown="false" showErrorMessage="false" showInputMessage="false" sqref="I5:I64" type="list">
      <formula1>"Y,N"</formula1>
      <formula2>0</formula2>
    </dataValidation>
    <dataValidation allowBlank="true" errorStyle="stop" operator="between" showDropDown="false" showErrorMessage="false" showInputMessage="false" sqref="J5:J64" type="list">
      <formula1>"Y,N"</formula1>
      <formula2>0</formula2>
    </dataValidation>
    <dataValidation allowBlank="true" errorStyle="stop" operator="between" showDropDown="false" showErrorMessage="false" showInputMessage="false" sqref="K5:K64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7" min="5" style="0" width="12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5" t="s">
        <v>44</v>
      </c>
    </row>
    <row r="2" customFormat="false" ht="15" hidden="false" customHeight="false" outlineLevel="0" collapsed="false">
      <c r="A2" s="6" t="s">
        <v>45</v>
      </c>
    </row>
    <row r="4" customFormat="false" ht="26.85" hidden="false" customHeight="false" outlineLevel="0" collapsed="false">
      <c r="A4" s="12" t="s">
        <v>35</v>
      </c>
      <c r="B4" s="12" t="s">
        <v>36</v>
      </c>
      <c r="C4" s="12" t="s">
        <v>46</v>
      </c>
      <c r="D4" s="12" t="s">
        <v>47</v>
      </c>
      <c r="E4" s="12" t="s">
        <v>48</v>
      </c>
      <c r="F4" s="12" t="s">
        <v>49</v>
      </c>
      <c r="G4" s="12" t="s">
        <v>50</v>
      </c>
      <c r="H4" s="12" t="s">
        <v>51</v>
      </c>
    </row>
    <row r="5" customFormat="false" ht="15" hidden="false" customHeight="false" outlineLevel="0" collapsed="false">
      <c r="A5" s="9" t="s">
        <v>52</v>
      </c>
      <c r="B5" s="13" t="s">
        <v>53</v>
      </c>
      <c r="C5" s="8" t="n">
        <f aca="false">COUNTIF('Case Log'!$D:$D,$A5)</f>
        <v>0</v>
      </c>
      <c r="D5" s="8" t="n">
        <f aca="false">COUNTIFS('Case Log'!$D:$D,$A5,'Case Log'!$I:$I,"Y")</f>
        <v>0</v>
      </c>
      <c r="E5" s="14" t="str">
        <f aca="false">IF(C5=0,"",D5/C5)</f>
        <v/>
      </c>
      <c r="F5" s="8" t="n">
        <f aca="false">COUNTIFS('Case Log'!$D:$D,$A5,'Case Log'!$J:$J,"Y")</f>
        <v>0</v>
      </c>
      <c r="G5" s="8" t="n">
        <f aca="false">COUNTIFS('Case Log'!$D:$D,$A5,'Case Log'!$K:$K,"Y")</f>
        <v>0</v>
      </c>
      <c r="H5" s="8" t="str">
        <f aca="false">IF($B5="Red","HUMAN-ONLY (never graduates)",IF(C5&lt;30,"BUILDING ("&amp;C5&amp;"/30 cases)",IF(AND(E5&gt;=0.95,F5=0),IF($B5="Yellow","ELIGIBLE — approve-before-send","✓ ELIGIBLE — full autonomy"),"HOLD — review (acc&lt;95% or harm&gt;0)")))</f>
        <v>BUILDING (0/30 cases)</v>
      </c>
    </row>
    <row r="6" customFormat="false" ht="15" hidden="false" customHeight="false" outlineLevel="0" collapsed="false">
      <c r="A6" s="9" t="s">
        <v>54</v>
      </c>
      <c r="B6" s="13" t="s">
        <v>53</v>
      </c>
      <c r="C6" s="8" t="n">
        <f aca="false">COUNTIF('Case Log'!$D:$D,$A6)</f>
        <v>0</v>
      </c>
      <c r="D6" s="8" t="n">
        <f aca="false">COUNTIFS('Case Log'!$D:$D,$A6,'Case Log'!$I:$I,"Y")</f>
        <v>0</v>
      </c>
      <c r="E6" s="14" t="str">
        <f aca="false">IF(C6=0,"",D6/C6)</f>
        <v/>
      </c>
      <c r="F6" s="8" t="n">
        <f aca="false">COUNTIFS('Case Log'!$D:$D,$A6,'Case Log'!$J:$J,"Y")</f>
        <v>0</v>
      </c>
      <c r="G6" s="8" t="n">
        <f aca="false">COUNTIFS('Case Log'!$D:$D,$A6,'Case Log'!$K:$K,"Y")</f>
        <v>0</v>
      </c>
      <c r="H6" s="8" t="str">
        <f aca="false">IF($B6="Red","HUMAN-ONLY (never graduates)",IF(C6&lt;30,"BUILDING ("&amp;C6&amp;"/30 cases)",IF(AND(E6&gt;=0.95,F6=0),IF($B6="Yellow","ELIGIBLE — approve-before-send","✓ ELIGIBLE — full autonomy"),"HOLD — review (acc&lt;95% or harm&gt;0)")))</f>
        <v>BUILDING (0/30 cases)</v>
      </c>
    </row>
    <row r="7" customFormat="false" ht="15" hidden="false" customHeight="false" outlineLevel="0" collapsed="false">
      <c r="A7" s="9" t="s">
        <v>55</v>
      </c>
      <c r="B7" s="13" t="s">
        <v>53</v>
      </c>
      <c r="C7" s="8" t="n">
        <f aca="false">COUNTIF('Case Log'!$D:$D,$A7)</f>
        <v>0</v>
      </c>
      <c r="D7" s="8" t="n">
        <f aca="false">COUNTIFS('Case Log'!$D:$D,$A7,'Case Log'!$I:$I,"Y")</f>
        <v>0</v>
      </c>
      <c r="E7" s="14" t="str">
        <f aca="false">IF(C7=0,"",D7/C7)</f>
        <v/>
      </c>
      <c r="F7" s="8" t="n">
        <f aca="false">COUNTIFS('Case Log'!$D:$D,$A7,'Case Log'!$J:$J,"Y")</f>
        <v>0</v>
      </c>
      <c r="G7" s="8" t="n">
        <f aca="false">COUNTIFS('Case Log'!$D:$D,$A7,'Case Log'!$K:$K,"Y")</f>
        <v>0</v>
      </c>
      <c r="H7" s="8" t="str">
        <f aca="false">IF($B7="Red","HUMAN-ONLY (never graduates)",IF(C7&lt;30,"BUILDING ("&amp;C7&amp;"/30 cases)",IF(AND(E7&gt;=0.95,F7=0),IF($B7="Yellow","ELIGIBLE — approve-before-send","✓ ELIGIBLE — full autonomy"),"HOLD — review (acc&lt;95% or harm&gt;0)")))</f>
        <v>BUILDING (0/30 cases)</v>
      </c>
    </row>
    <row r="8" customFormat="false" ht="15" hidden="false" customHeight="false" outlineLevel="0" collapsed="false">
      <c r="A8" s="9" t="s">
        <v>56</v>
      </c>
      <c r="B8" s="13" t="s">
        <v>53</v>
      </c>
      <c r="C8" s="8" t="n">
        <f aca="false">COUNTIF('Case Log'!$D:$D,$A8)</f>
        <v>0</v>
      </c>
      <c r="D8" s="8" t="n">
        <f aca="false">COUNTIFS('Case Log'!$D:$D,$A8,'Case Log'!$I:$I,"Y")</f>
        <v>0</v>
      </c>
      <c r="E8" s="14" t="str">
        <f aca="false">IF(C8=0,"",D8/C8)</f>
        <v/>
      </c>
      <c r="F8" s="8" t="n">
        <f aca="false">COUNTIFS('Case Log'!$D:$D,$A8,'Case Log'!$J:$J,"Y")</f>
        <v>0</v>
      </c>
      <c r="G8" s="8" t="n">
        <f aca="false">COUNTIFS('Case Log'!$D:$D,$A8,'Case Log'!$K:$K,"Y")</f>
        <v>0</v>
      </c>
      <c r="H8" s="8" t="str">
        <f aca="false">IF($B8="Red","HUMAN-ONLY (never graduates)",IF(C8&lt;30,"BUILDING ("&amp;C8&amp;"/30 cases)",IF(AND(E8&gt;=0.95,F8=0),IF($B8="Yellow","ELIGIBLE — approve-before-send","✓ ELIGIBLE — full autonomy"),"HOLD — review (acc&lt;95% or harm&gt;0)")))</f>
        <v>BUILDING (0/30 cases)</v>
      </c>
    </row>
    <row r="9" customFormat="false" ht="15" hidden="false" customHeight="false" outlineLevel="0" collapsed="false">
      <c r="A9" s="9" t="s">
        <v>57</v>
      </c>
      <c r="B9" s="13" t="s">
        <v>53</v>
      </c>
      <c r="C9" s="8" t="n">
        <f aca="false">COUNTIF('Case Log'!$D:$D,$A9)</f>
        <v>0</v>
      </c>
      <c r="D9" s="8" t="n">
        <f aca="false">COUNTIFS('Case Log'!$D:$D,$A9,'Case Log'!$I:$I,"Y")</f>
        <v>0</v>
      </c>
      <c r="E9" s="14" t="str">
        <f aca="false">IF(C9=0,"",D9/C9)</f>
        <v/>
      </c>
      <c r="F9" s="8" t="n">
        <f aca="false">COUNTIFS('Case Log'!$D:$D,$A9,'Case Log'!$J:$J,"Y")</f>
        <v>0</v>
      </c>
      <c r="G9" s="8" t="n">
        <f aca="false">COUNTIFS('Case Log'!$D:$D,$A9,'Case Log'!$K:$K,"Y")</f>
        <v>0</v>
      </c>
      <c r="H9" s="8" t="str">
        <f aca="false">IF($B9="Red","HUMAN-ONLY (never graduates)",IF(C9&lt;30,"BUILDING ("&amp;C9&amp;"/30 cases)",IF(AND(E9&gt;=0.95,F9=0),IF($B9="Yellow","ELIGIBLE — approve-before-send","✓ ELIGIBLE — full autonomy"),"HOLD — review (acc&lt;95% or harm&gt;0)")))</f>
        <v>BUILDING (0/30 cases)</v>
      </c>
    </row>
    <row r="10" customFormat="false" ht="15" hidden="false" customHeight="false" outlineLevel="0" collapsed="false">
      <c r="A10" s="9" t="s">
        <v>58</v>
      </c>
      <c r="B10" s="15" t="s">
        <v>59</v>
      </c>
      <c r="C10" s="8" t="n">
        <f aca="false">COUNTIF('Case Log'!$D:$D,$A10)</f>
        <v>0</v>
      </c>
      <c r="D10" s="8" t="n">
        <f aca="false">COUNTIFS('Case Log'!$D:$D,$A10,'Case Log'!$I:$I,"Y")</f>
        <v>0</v>
      </c>
      <c r="E10" s="14" t="str">
        <f aca="false">IF(C10=0,"",D10/C10)</f>
        <v/>
      </c>
      <c r="F10" s="8" t="n">
        <f aca="false">COUNTIFS('Case Log'!$D:$D,$A10,'Case Log'!$J:$J,"Y")</f>
        <v>0</v>
      </c>
      <c r="G10" s="8" t="n">
        <f aca="false">COUNTIFS('Case Log'!$D:$D,$A10,'Case Log'!$K:$K,"Y")</f>
        <v>0</v>
      </c>
      <c r="H10" s="8" t="str">
        <f aca="false">IF($B10="Red","HUMAN-ONLY (never graduates)",IF(C10&lt;30,"BUILDING ("&amp;C10&amp;"/30 cases)",IF(AND(E10&gt;=0.95,F10=0),IF($B10="Yellow","ELIGIBLE — approve-before-send","✓ ELIGIBLE — full autonomy"),"HOLD — review (acc&lt;95% or harm&gt;0)")))</f>
        <v>BUILDING (0/30 cases)</v>
      </c>
    </row>
    <row r="11" customFormat="false" ht="15" hidden="false" customHeight="false" outlineLevel="0" collapsed="false">
      <c r="A11" s="9" t="s">
        <v>60</v>
      </c>
      <c r="B11" s="15" t="s">
        <v>59</v>
      </c>
      <c r="C11" s="8" t="n">
        <f aca="false">COUNTIF('Case Log'!$D:$D,$A11)</f>
        <v>0</v>
      </c>
      <c r="D11" s="8" t="n">
        <f aca="false">COUNTIFS('Case Log'!$D:$D,$A11,'Case Log'!$I:$I,"Y")</f>
        <v>0</v>
      </c>
      <c r="E11" s="14" t="str">
        <f aca="false">IF(C11=0,"",D11/C11)</f>
        <v/>
      </c>
      <c r="F11" s="8" t="n">
        <f aca="false">COUNTIFS('Case Log'!$D:$D,$A11,'Case Log'!$J:$J,"Y")</f>
        <v>0</v>
      </c>
      <c r="G11" s="8" t="n">
        <f aca="false">COUNTIFS('Case Log'!$D:$D,$A11,'Case Log'!$K:$K,"Y")</f>
        <v>0</v>
      </c>
      <c r="H11" s="8" t="str">
        <f aca="false">IF($B11="Red","HUMAN-ONLY (never graduates)",IF(C11&lt;30,"BUILDING ("&amp;C11&amp;"/30 cases)",IF(AND(E11&gt;=0.95,F11=0),IF($B11="Yellow","ELIGIBLE — approve-before-send","✓ ELIGIBLE — full autonomy"),"HOLD — review (acc&lt;95% or harm&gt;0)")))</f>
        <v>BUILDING (0/30 cases)</v>
      </c>
    </row>
    <row r="12" customFormat="false" ht="15" hidden="false" customHeight="false" outlineLevel="0" collapsed="false">
      <c r="A12" s="9" t="s">
        <v>61</v>
      </c>
      <c r="B12" s="15" t="s">
        <v>59</v>
      </c>
      <c r="C12" s="8" t="n">
        <f aca="false">COUNTIF('Case Log'!$D:$D,$A12)</f>
        <v>0</v>
      </c>
      <c r="D12" s="8" t="n">
        <f aca="false">COUNTIFS('Case Log'!$D:$D,$A12,'Case Log'!$I:$I,"Y")</f>
        <v>0</v>
      </c>
      <c r="E12" s="14" t="str">
        <f aca="false">IF(C12=0,"",D12/C12)</f>
        <v/>
      </c>
      <c r="F12" s="8" t="n">
        <f aca="false">COUNTIFS('Case Log'!$D:$D,$A12,'Case Log'!$J:$J,"Y")</f>
        <v>0</v>
      </c>
      <c r="G12" s="8" t="n">
        <f aca="false">COUNTIFS('Case Log'!$D:$D,$A12,'Case Log'!$K:$K,"Y")</f>
        <v>0</v>
      </c>
      <c r="H12" s="8" t="str">
        <f aca="false">IF($B12="Red","HUMAN-ONLY (never graduates)",IF(C12&lt;30,"BUILDING ("&amp;C12&amp;"/30 cases)",IF(AND(E12&gt;=0.95,F12=0),IF($B12="Yellow","ELIGIBLE — approve-before-send","✓ ELIGIBLE — full autonomy"),"HOLD — review (acc&lt;95% or harm&gt;0)")))</f>
        <v>BUILDING (0/30 cases)</v>
      </c>
    </row>
    <row r="13" customFormat="false" ht="15" hidden="false" customHeight="false" outlineLevel="0" collapsed="false">
      <c r="A13" s="9" t="s">
        <v>62</v>
      </c>
      <c r="B13" s="15" t="s">
        <v>59</v>
      </c>
      <c r="C13" s="8" t="n">
        <f aca="false">COUNTIF('Case Log'!$D:$D,$A13)</f>
        <v>0</v>
      </c>
      <c r="D13" s="8" t="n">
        <f aca="false">COUNTIFS('Case Log'!$D:$D,$A13,'Case Log'!$I:$I,"Y")</f>
        <v>0</v>
      </c>
      <c r="E13" s="14" t="str">
        <f aca="false">IF(C13=0,"",D13/C13)</f>
        <v/>
      </c>
      <c r="F13" s="8" t="n">
        <f aca="false">COUNTIFS('Case Log'!$D:$D,$A13,'Case Log'!$J:$J,"Y")</f>
        <v>0</v>
      </c>
      <c r="G13" s="8" t="n">
        <f aca="false">COUNTIFS('Case Log'!$D:$D,$A13,'Case Log'!$K:$K,"Y")</f>
        <v>0</v>
      </c>
      <c r="H13" s="8" t="str">
        <f aca="false">IF($B13="Red","HUMAN-ONLY (never graduates)",IF(C13&lt;30,"BUILDING ("&amp;C13&amp;"/30 cases)",IF(AND(E13&gt;=0.95,F13=0),IF($B13="Yellow","ELIGIBLE — approve-before-send","✓ ELIGIBLE — full autonomy"),"HOLD — review (acc&lt;95% or harm&gt;0)")))</f>
        <v>BUILDING (0/30 cases)</v>
      </c>
    </row>
    <row r="14" customFormat="false" ht="15" hidden="false" customHeight="false" outlineLevel="0" collapsed="false">
      <c r="A14" s="9" t="s">
        <v>63</v>
      </c>
      <c r="B14" s="16" t="s">
        <v>64</v>
      </c>
      <c r="C14" s="8" t="n">
        <f aca="false">COUNTIF('Case Log'!$D:$D,$A14)</f>
        <v>0</v>
      </c>
      <c r="D14" s="8" t="n">
        <f aca="false">COUNTIFS('Case Log'!$D:$D,$A14,'Case Log'!$I:$I,"Y")</f>
        <v>0</v>
      </c>
      <c r="E14" s="14" t="str">
        <f aca="false">IF(C14=0,"",D14/C14)</f>
        <v/>
      </c>
      <c r="F14" s="8" t="n">
        <f aca="false">COUNTIFS('Case Log'!$D:$D,$A14,'Case Log'!$J:$J,"Y")</f>
        <v>0</v>
      </c>
      <c r="G14" s="8" t="n">
        <f aca="false">COUNTIFS('Case Log'!$D:$D,$A14,'Case Log'!$K:$K,"Y")</f>
        <v>0</v>
      </c>
      <c r="H14" s="8" t="str">
        <f aca="false">IF($B14="Red","HUMAN-ONLY (never graduates)",IF(C14&lt;30,"BUILDING ("&amp;C14&amp;"/30 cases)",IF(AND(E14&gt;=0.95,F14=0),IF($B14="Yellow","ELIGIBLE — approve-before-send","✓ ELIGIBLE — full autonomy"),"HOLD — review (acc&lt;95% or harm&gt;0)")))</f>
        <v>HUMAN-ONLY (never graduates)</v>
      </c>
    </row>
    <row r="15" customFormat="false" ht="15" hidden="false" customHeight="false" outlineLevel="0" collapsed="false">
      <c r="A15" s="9" t="s">
        <v>65</v>
      </c>
      <c r="B15" s="16" t="s">
        <v>64</v>
      </c>
      <c r="C15" s="8" t="n">
        <f aca="false">COUNTIF('Case Log'!$D:$D,$A15)</f>
        <v>0</v>
      </c>
      <c r="D15" s="8" t="n">
        <f aca="false">COUNTIFS('Case Log'!$D:$D,$A15,'Case Log'!$I:$I,"Y")</f>
        <v>0</v>
      </c>
      <c r="E15" s="14" t="str">
        <f aca="false">IF(C15=0,"",D15/C15)</f>
        <v/>
      </c>
      <c r="F15" s="8" t="n">
        <f aca="false">COUNTIFS('Case Log'!$D:$D,$A15,'Case Log'!$J:$J,"Y")</f>
        <v>0</v>
      </c>
      <c r="G15" s="8" t="n">
        <f aca="false">COUNTIFS('Case Log'!$D:$D,$A15,'Case Log'!$K:$K,"Y")</f>
        <v>0</v>
      </c>
      <c r="H15" s="8" t="str">
        <f aca="false">IF($B15="Red","HUMAN-ONLY (never graduates)",IF(C15&lt;30,"BUILDING ("&amp;C15&amp;"/30 cases)",IF(AND(E15&gt;=0.95,F15=0),IF($B15="Yellow","ELIGIBLE — approve-before-send","✓ ELIGIBLE — full autonomy"),"HOLD — review (acc&lt;95% or harm&gt;0)")))</f>
        <v>HUMAN-ONLY (never graduates)</v>
      </c>
    </row>
    <row r="16" customFormat="false" ht="15" hidden="false" customHeight="false" outlineLevel="0" collapsed="false">
      <c r="A16" s="9" t="s">
        <v>66</v>
      </c>
      <c r="B16" s="16" t="s">
        <v>64</v>
      </c>
      <c r="C16" s="8" t="n">
        <f aca="false">COUNTIF('Case Log'!$D:$D,$A16)</f>
        <v>0</v>
      </c>
      <c r="D16" s="8" t="n">
        <f aca="false">COUNTIFS('Case Log'!$D:$D,$A16,'Case Log'!$I:$I,"Y")</f>
        <v>0</v>
      </c>
      <c r="E16" s="14" t="str">
        <f aca="false">IF(C16=0,"",D16/C16)</f>
        <v/>
      </c>
      <c r="F16" s="8" t="n">
        <f aca="false">COUNTIFS('Case Log'!$D:$D,$A16,'Case Log'!$J:$J,"Y")</f>
        <v>0</v>
      </c>
      <c r="G16" s="8" t="n">
        <f aca="false">COUNTIFS('Case Log'!$D:$D,$A16,'Case Log'!$K:$K,"Y")</f>
        <v>0</v>
      </c>
      <c r="H16" s="8" t="str">
        <f aca="false">IF($B16="Red","HUMAN-ONLY (never graduates)",IF(C16&lt;30,"BUILDING ("&amp;C16&amp;"/30 cases)",IF(AND(E16&gt;=0.95,F16=0),IF($B16="Yellow","ELIGIBLE — approve-before-send","✓ ELIGIBLE — full autonomy"),"HOLD — review (acc&lt;95% or harm&gt;0)")))</f>
        <v>HUMAN-ONLY (never graduates)</v>
      </c>
    </row>
    <row r="17" customFormat="false" ht="15" hidden="false" customHeight="false" outlineLevel="0" collapsed="false">
      <c r="A17" s="9" t="s">
        <v>67</v>
      </c>
      <c r="B17" s="16" t="s">
        <v>64</v>
      </c>
      <c r="C17" s="8" t="n">
        <f aca="false">COUNTIF('Case Log'!$D:$D,$A17)</f>
        <v>0</v>
      </c>
      <c r="D17" s="8" t="n">
        <f aca="false">COUNTIFS('Case Log'!$D:$D,$A17,'Case Log'!$I:$I,"Y")</f>
        <v>0</v>
      </c>
      <c r="E17" s="14" t="str">
        <f aca="false">IF(C17=0,"",D17/C17)</f>
        <v/>
      </c>
      <c r="F17" s="8" t="n">
        <f aca="false">COUNTIFS('Case Log'!$D:$D,$A17,'Case Log'!$J:$J,"Y")</f>
        <v>0</v>
      </c>
      <c r="G17" s="8" t="n">
        <f aca="false">COUNTIFS('Case Log'!$D:$D,$A17,'Case Log'!$K:$K,"Y")</f>
        <v>0</v>
      </c>
      <c r="H17" s="8" t="str">
        <f aca="false">IF($B17="Red","HUMAN-ONLY (never graduates)",IF(C17&lt;30,"BUILDING ("&amp;C17&amp;"/30 cases)",IF(AND(E17&gt;=0.95,F17=0),IF($B17="Yellow","ELIGIBLE — approve-before-send","✓ ELIGIBLE — full autonomy"),"HOLD — review (acc&lt;95% or harm&gt;0)")))</f>
        <v>HUMAN-ONLY (never graduates)</v>
      </c>
    </row>
    <row r="18" customFormat="false" ht="15" hidden="false" customHeight="false" outlineLevel="0" collapsed="false">
      <c r="A18" s="17" t="s">
        <v>68</v>
      </c>
      <c r="B18" s="18"/>
      <c r="C18" s="17" t="n">
        <f aca="false">SUM(C5:C17)</f>
        <v>0</v>
      </c>
      <c r="D18" s="18"/>
      <c r="E18" s="18"/>
      <c r="F18" s="17" t="n">
        <f aca="false">SUM(F5:F17)</f>
        <v>0</v>
      </c>
      <c r="G18" s="17" t="n">
        <f aca="false">SUM(G5:G17)</f>
        <v>0</v>
      </c>
      <c r="H18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2026-06-08T10:41:59Z</dcterms:created>
  <dc:creator>openpyxl</dc:creator>
  <dc:description/>
  <dc:language>en-US</dc:language>
  <cp:lastModifiedBy/>
  <dcterms:modified xsi:type="dcterms:W3CDTF">2026-06-08T10:41:59Z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